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its" sheetId="1" state="visible" r:id="rId1"/>
    <sheet xmlns:r="http://schemas.openxmlformats.org/officeDocument/2006/relationships" name="Journal" sheetId="2" state="visible" r:id="rId2"/>
    <sheet xmlns:r="http://schemas.openxmlformats.org/officeDocument/2006/relationships" name="READM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7">
    <fill>
      <patternFill/>
    </fill>
    <fill>
      <patternFill patternType="gray125"/>
    </fill>
    <fill>
      <patternFill patternType="solid">
        <fgColor rgb="00D9E8FF"/>
      </patternFill>
    </fill>
    <fill>
      <patternFill patternType="solid">
        <fgColor rgb="00FFF2CC"/>
      </patternFill>
    </fill>
    <fill>
      <patternFill patternType="solid">
        <fgColor rgb="00E6E6E6"/>
      </patternFill>
    </fill>
    <fill>
      <patternFill patternType="solid">
        <fgColor rgb="00D7F2D7"/>
      </patternFill>
    </fill>
    <fill>
      <patternFill patternType="solid">
        <fgColor rgb="00F3F6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center" wrapText="1"/>
    </xf>
    <xf numFmtId="0" fontId="1" fillId="4" borderId="0" applyAlignment="1" pivotButton="0" quotePrefix="0" xfId="0">
      <alignment horizontal="center" vertical="center" wrapText="1"/>
    </xf>
    <xf numFmtId="0" fontId="0" fillId="5" borderId="0" pivotButton="0" quotePrefix="0" xfId="0"/>
    <xf numFmtId="0" fontId="0" fillId="6" borderId="0" pivotButton="0" quotePrefix="0" xfId="0"/>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6"/>
  <sheetViews>
    <sheetView workbookViewId="0">
      <selection activeCell="A1" sqref="A1"/>
    </sheetView>
  </sheetViews>
  <sheetFormatPr baseColWidth="8" defaultRowHeight="15"/>
  <cols>
    <col hidden="1" width="12" customWidth="1" min="1" max="1"/>
    <col width="18" customWidth="1" min="2" max="2"/>
    <col width="28" customWidth="1" min="3" max="3"/>
    <col width="16" customWidth="1" min="4" max="4"/>
    <col width="18" customWidth="1" min="5" max="5"/>
    <col width="14" customWidth="1" min="6" max="6"/>
    <col width="16" customWidth="1" min="7" max="7"/>
    <col width="14" customWidth="1" min="8" max="8"/>
    <col width="18" customWidth="1" min="9" max="9"/>
    <col width="22" customWidth="1" min="10" max="10"/>
  </cols>
  <sheetData>
    <row r="1">
      <c r="A1" s="1" t="inlineStr">
        <is>
          <t>📦 PRODUITS (mobile) — Tu peux changer l'ID affiché sans casser le journal (PID interne immuable).</t>
        </is>
      </c>
    </row>
    <row r="2">
      <c r="A2" s="2" t="inlineStr">
        <is>
          <t>Saisie (vert) : ID affiché, Nom, Catégorie, Unités/lot (référence). Les colonnes bleu clair sont calculées depuis le Journal (actif uniquement).</t>
        </is>
      </c>
    </row>
    <row r="3">
      <c r="A3" s="3" t="inlineStr">
        <is>
          <t>PID (caché)</t>
        </is>
      </c>
      <c r="B3" s="3" t="inlineStr">
        <is>
          <t>ID produit (modifiable)</t>
        </is>
      </c>
      <c r="C3" s="3" t="inlineStr">
        <is>
          <t>Nom produit</t>
        </is>
      </c>
      <c r="D3" s="3" t="inlineStr">
        <is>
          <t>Catégorie</t>
        </is>
      </c>
      <c r="E3" s="3" t="inlineStr">
        <is>
          <t>Unités par lot (réf)</t>
        </is>
      </c>
      <c r="F3" s="3" t="inlineStr">
        <is>
          <t>Stock unités</t>
        </is>
      </c>
      <c r="G3" s="3" t="inlineStr">
        <is>
          <t>Stock lots (info)</t>
        </is>
      </c>
      <c r="H3" s="3" t="inlineStr">
        <is>
          <t>Reste unités</t>
        </is>
      </c>
      <c r="I3" s="3" t="inlineStr">
        <is>
          <t>Coût moyen achat (€)</t>
        </is>
      </c>
      <c r="J3" s="3" t="inlineStr">
        <is>
          <t>Note</t>
        </is>
      </c>
    </row>
    <row r="4">
      <c r="A4" t="inlineStr">
        <is>
          <t>P69BCEF762C</t>
        </is>
      </c>
      <c r="B4" s="4" t="inlineStr">
        <is>
          <t>CP22X3</t>
        </is>
      </c>
      <c r="C4" s="4" t="inlineStr">
        <is>
          <t>Contreplaqué 2mm 200x300</t>
        </is>
      </c>
      <c r="D4" s="4" t="inlineStr">
        <is>
          <t>Bois</t>
        </is>
      </c>
      <c r="E4" s="4" t="n">
        <v>1</v>
      </c>
      <c r="F4" s="5">
        <f>IFERROR(SUMIFS(Journal!$K:$K,Journal!$B:$B,TRUE,Journal!$E:$E,A4),0)</f>
        <v/>
      </c>
      <c r="G4" s="5">
        <f>IFERROR(INT(F4/E4),0)</f>
        <v/>
      </c>
      <c r="H4" s="5">
        <f>IFERROR(MOD(F4,E4),0)</f>
        <v/>
      </c>
      <c r="I4" s="5">
        <f>IFERROR(SUMIFS(Journal!$N:$N,Journal!$B:$B,TRUE,Journal!$D:$D,"ACHAT",Journal!$E:$E,A4)/SUMIFS(Journal!$K:$K,Journal!$B:$B,TRUE,Journal!$D:$D,"ACHAT",Journal!$E:$E,A4),"")</f>
        <v/>
      </c>
      <c r="J4" s="4" t="inlineStr"/>
    </row>
    <row r="5">
      <c r="A5" t="inlineStr">
        <is>
          <t>P8B70051EAB</t>
        </is>
      </c>
      <c r="B5" s="4" t="inlineStr">
        <is>
          <t>CP23X3</t>
        </is>
      </c>
      <c r="C5" s="4" t="inlineStr">
        <is>
          <t>Contreplaqué 2mm 300x300</t>
        </is>
      </c>
      <c r="D5" s="4" t="inlineStr">
        <is>
          <t>Bois</t>
        </is>
      </c>
      <c r="E5" s="4" t="n">
        <v>1</v>
      </c>
      <c r="F5" s="5">
        <f>IFERROR(SUMIFS(Journal!$K:$K,Journal!$B:$B,TRUE,Journal!$E:$E,A5),0)</f>
        <v/>
      </c>
      <c r="G5" s="5">
        <f>IFERROR(INT(F5/E5),0)</f>
        <v/>
      </c>
      <c r="H5" s="5">
        <f>IFERROR(MOD(F5,E5),0)</f>
        <v/>
      </c>
      <c r="I5" s="5">
        <f>IFERROR(SUMIFS(Journal!$N:$N,Journal!$B:$B,TRUE,Journal!$D:$D,"ACHAT",Journal!$E:$E,A5)/SUMIFS(Journal!$K:$K,Journal!$B:$B,TRUE,Journal!$D:$D,"ACHAT",Journal!$E:$E,A5),"")</f>
        <v/>
      </c>
      <c r="J5" s="4" t="inlineStr"/>
    </row>
    <row r="6">
      <c r="A6" t="inlineStr">
        <is>
          <t>P6B0BD97B79</t>
        </is>
      </c>
      <c r="B6" s="4" t="inlineStr">
        <is>
          <t>CP22X2</t>
        </is>
      </c>
      <c r="C6" s="4" t="inlineStr">
        <is>
          <t>Contreplaqué 2mm 200x200</t>
        </is>
      </c>
      <c r="D6" s="4" t="inlineStr">
        <is>
          <t>Bois</t>
        </is>
      </c>
      <c r="E6" s="4" t="n">
        <v>1</v>
      </c>
      <c r="F6" s="5">
        <f>IFERROR(SUMIFS(Journal!$K:$K,Journal!$B:$B,TRUE,Journal!$E:$E,A6),0)</f>
        <v/>
      </c>
      <c r="G6" s="5">
        <f>IFERROR(INT(F6/E6),0)</f>
        <v/>
      </c>
      <c r="H6" s="5">
        <f>IFERROR(MOD(F6,E6),0)</f>
        <v/>
      </c>
      <c r="I6" s="5">
        <f>IFERROR(SUMIFS(Journal!$N:$N,Journal!$B:$B,TRUE,Journal!$D:$D,"ACHAT",Journal!$E:$E,A6)/SUMIFS(Journal!$K:$K,Journal!$B:$B,TRUE,Journal!$D:$D,"ACHAT",Journal!$E:$E,A6),"")</f>
        <v/>
      </c>
      <c r="J6" s="4" t="inlineStr"/>
    </row>
    <row r="7">
      <c r="F7">
        <f>IFERROR(SUMIFS(Journal!$K:$K,Journal!$B:$B,TRUE,Journal!$E:$E,A7),0)</f>
        <v/>
      </c>
      <c r="G7">
        <f>IFERROR(INT(F7/E7),0)</f>
        <v/>
      </c>
      <c r="H7">
        <f>IFERROR(MOD(F7,E7),0)</f>
        <v/>
      </c>
      <c r="I7">
        <f>IFERROR(SUMIFS(Journal!$N:$N,Journal!$B:$B,TRUE,Journal!$D:$D,"ACHAT",Journal!$E:$E,A7)/SUMIFS(Journal!$K:$K,Journal!$B:$B,TRUE,Journal!$D:$D,"ACHAT",Journal!$E:$E,A7),"")</f>
        <v/>
      </c>
    </row>
    <row r="8">
      <c r="F8">
        <f>IFERROR(SUMIFS(Journal!$K:$K,Journal!$B:$B,TRUE,Journal!$E:$E,A8),0)</f>
        <v/>
      </c>
      <c r="G8">
        <f>IFERROR(INT(F8/E8),0)</f>
        <v/>
      </c>
      <c r="H8">
        <f>IFERROR(MOD(F8,E8),0)</f>
        <v/>
      </c>
      <c r="I8">
        <f>IFERROR(SUMIFS(Journal!$N:$N,Journal!$B:$B,TRUE,Journal!$D:$D,"ACHAT",Journal!$E:$E,A8)/SUMIFS(Journal!$K:$K,Journal!$B:$B,TRUE,Journal!$D:$D,"ACHAT",Journal!$E:$E,A8),"")</f>
        <v/>
      </c>
    </row>
    <row r="9">
      <c r="F9">
        <f>IFERROR(SUMIFS(Journal!$K:$K,Journal!$B:$B,TRUE,Journal!$E:$E,A9),0)</f>
        <v/>
      </c>
      <c r="G9">
        <f>IFERROR(INT(F9/E9),0)</f>
        <v/>
      </c>
      <c r="H9">
        <f>IFERROR(MOD(F9,E9),0)</f>
        <v/>
      </c>
      <c r="I9">
        <f>IFERROR(SUMIFS(Journal!$N:$N,Journal!$B:$B,TRUE,Journal!$D:$D,"ACHAT",Journal!$E:$E,A9)/SUMIFS(Journal!$K:$K,Journal!$B:$B,TRUE,Journal!$D:$D,"ACHAT",Journal!$E:$E,A9),"")</f>
        <v/>
      </c>
    </row>
    <row r="10">
      <c r="F10">
        <f>IFERROR(SUMIFS(Journal!$K:$K,Journal!$B:$B,TRUE,Journal!$E:$E,A10),0)</f>
        <v/>
      </c>
      <c r="G10">
        <f>IFERROR(INT(F10/E10),0)</f>
        <v/>
      </c>
      <c r="H10">
        <f>IFERROR(MOD(F10,E10),0)</f>
        <v/>
      </c>
      <c r="I10">
        <f>IFERROR(SUMIFS(Journal!$N:$N,Journal!$B:$B,TRUE,Journal!$D:$D,"ACHAT",Journal!$E:$E,A10)/SUMIFS(Journal!$K:$K,Journal!$B:$B,TRUE,Journal!$D:$D,"ACHAT",Journal!$E:$E,A10),"")</f>
        <v/>
      </c>
    </row>
    <row r="11">
      <c r="F11">
        <f>IFERROR(SUMIFS(Journal!$K:$K,Journal!$B:$B,TRUE,Journal!$E:$E,A11),0)</f>
        <v/>
      </c>
      <c r="G11">
        <f>IFERROR(INT(F11/E11),0)</f>
        <v/>
      </c>
      <c r="H11">
        <f>IFERROR(MOD(F11,E11),0)</f>
        <v/>
      </c>
      <c r="I11">
        <f>IFERROR(SUMIFS(Journal!$N:$N,Journal!$B:$B,TRUE,Journal!$D:$D,"ACHAT",Journal!$E:$E,A11)/SUMIFS(Journal!$K:$K,Journal!$B:$B,TRUE,Journal!$D:$D,"ACHAT",Journal!$E:$E,A11),"")</f>
        <v/>
      </c>
    </row>
    <row r="12">
      <c r="F12">
        <f>IFERROR(SUMIFS(Journal!$K:$K,Journal!$B:$B,TRUE,Journal!$E:$E,A12),0)</f>
        <v/>
      </c>
      <c r="G12">
        <f>IFERROR(INT(F12/E12),0)</f>
        <v/>
      </c>
      <c r="H12">
        <f>IFERROR(MOD(F12,E12),0)</f>
        <v/>
      </c>
      <c r="I12">
        <f>IFERROR(SUMIFS(Journal!$N:$N,Journal!$B:$B,TRUE,Journal!$D:$D,"ACHAT",Journal!$E:$E,A12)/SUMIFS(Journal!$K:$K,Journal!$B:$B,TRUE,Journal!$D:$D,"ACHAT",Journal!$E:$E,A12),"")</f>
        <v/>
      </c>
    </row>
    <row r="13">
      <c r="F13">
        <f>IFERROR(SUMIFS(Journal!$K:$K,Journal!$B:$B,TRUE,Journal!$E:$E,A13),0)</f>
        <v/>
      </c>
      <c r="G13">
        <f>IFERROR(INT(F13/E13),0)</f>
        <v/>
      </c>
      <c r="H13">
        <f>IFERROR(MOD(F13,E13),0)</f>
        <v/>
      </c>
      <c r="I13">
        <f>IFERROR(SUMIFS(Journal!$N:$N,Journal!$B:$B,TRUE,Journal!$D:$D,"ACHAT",Journal!$E:$E,A13)/SUMIFS(Journal!$K:$K,Journal!$B:$B,TRUE,Journal!$D:$D,"ACHAT",Journal!$E:$E,A13),"")</f>
        <v/>
      </c>
    </row>
    <row r="14">
      <c r="F14">
        <f>IFERROR(SUMIFS(Journal!$K:$K,Journal!$B:$B,TRUE,Journal!$E:$E,A14),0)</f>
        <v/>
      </c>
      <c r="G14">
        <f>IFERROR(INT(F14/E14),0)</f>
        <v/>
      </c>
      <c r="H14">
        <f>IFERROR(MOD(F14,E14),0)</f>
        <v/>
      </c>
      <c r="I14">
        <f>IFERROR(SUMIFS(Journal!$N:$N,Journal!$B:$B,TRUE,Journal!$D:$D,"ACHAT",Journal!$E:$E,A14)/SUMIFS(Journal!$K:$K,Journal!$B:$B,TRUE,Journal!$D:$D,"ACHAT",Journal!$E:$E,A14),"")</f>
        <v/>
      </c>
    </row>
    <row r="15">
      <c r="F15">
        <f>IFERROR(SUMIFS(Journal!$K:$K,Journal!$B:$B,TRUE,Journal!$E:$E,A15),0)</f>
        <v/>
      </c>
      <c r="G15">
        <f>IFERROR(INT(F15/E15),0)</f>
        <v/>
      </c>
      <c r="H15">
        <f>IFERROR(MOD(F15,E15),0)</f>
        <v/>
      </c>
      <c r="I15">
        <f>IFERROR(SUMIFS(Journal!$N:$N,Journal!$B:$B,TRUE,Journal!$D:$D,"ACHAT",Journal!$E:$E,A15)/SUMIFS(Journal!$K:$K,Journal!$B:$B,TRUE,Journal!$D:$D,"ACHAT",Journal!$E:$E,A15),"")</f>
        <v/>
      </c>
    </row>
    <row r="16">
      <c r="F16">
        <f>IFERROR(SUMIFS(Journal!$K:$K,Journal!$B:$B,TRUE,Journal!$E:$E,A16),0)</f>
        <v/>
      </c>
      <c r="G16">
        <f>IFERROR(INT(F16/E16),0)</f>
        <v/>
      </c>
      <c r="H16">
        <f>IFERROR(MOD(F16,E16),0)</f>
        <v/>
      </c>
      <c r="I16">
        <f>IFERROR(SUMIFS(Journal!$N:$N,Journal!$B:$B,TRUE,Journal!$D:$D,"ACHAT",Journal!$E:$E,A16)/SUMIFS(Journal!$K:$K,Journal!$B:$B,TRUE,Journal!$D:$D,"ACHAT",Journal!$E:$E,A16),"")</f>
        <v/>
      </c>
    </row>
    <row r="17">
      <c r="F17">
        <f>IFERROR(SUMIFS(Journal!$K:$K,Journal!$B:$B,TRUE,Journal!$E:$E,A17),0)</f>
        <v/>
      </c>
      <c r="G17">
        <f>IFERROR(INT(F17/E17),0)</f>
        <v/>
      </c>
      <c r="H17">
        <f>IFERROR(MOD(F17,E17),0)</f>
        <v/>
      </c>
      <c r="I17">
        <f>IFERROR(SUMIFS(Journal!$N:$N,Journal!$B:$B,TRUE,Journal!$D:$D,"ACHAT",Journal!$E:$E,A17)/SUMIFS(Journal!$K:$K,Journal!$B:$B,TRUE,Journal!$D:$D,"ACHAT",Journal!$E:$E,A17),"")</f>
        <v/>
      </c>
    </row>
    <row r="18">
      <c r="F18">
        <f>IFERROR(SUMIFS(Journal!$K:$K,Journal!$B:$B,TRUE,Journal!$E:$E,A18),0)</f>
        <v/>
      </c>
      <c r="G18">
        <f>IFERROR(INT(F18/E18),0)</f>
        <v/>
      </c>
      <c r="H18">
        <f>IFERROR(MOD(F18,E18),0)</f>
        <v/>
      </c>
      <c r="I18">
        <f>IFERROR(SUMIFS(Journal!$N:$N,Journal!$B:$B,TRUE,Journal!$D:$D,"ACHAT",Journal!$E:$E,A18)/SUMIFS(Journal!$K:$K,Journal!$B:$B,TRUE,Journal!$D:$D,"ACHAT",Journal!$E:$E,A18),"")</f>
        <v/>
      </c>
    </row>
    <row r="19">
      <c r="F19">
        <f>IFERROR(SUMIFS(Journal!$K:$K,Journal!$B:$B,TRUE,Journal!$E:$E,A19),0)</f>
        <v/>
      </c>
      <c r="G19">
        <f>IFERROR(INT(F19/E19),0)</f>
        <v/>
      </c>
      <c r="H19">
        <f>IFERROR(MOD(F19,E19),0)</f>
        <v/>
      </c>
      <c r="I19">
        <f>IFERROR(SUMIFS(Journal!$N:$N,Journal!$B:$B,TRUE,Journal!$D:$D,"ACHAT",Journal!$E:$E,A19)/SUMIFS(Journal!$K:$K,Journal!$B:$B,TRUE,Journal!$D:$D,"ACHAT",Journal!$E:$E,A19),"")</f>
        <v/>
      </c>
    </row>
    <row r="20">
      <c r="F20">
        <f>IFERROR(SUMIFS(Journal!$K:$K,Journal!$B:$B,TRUE,Journal!$E:$E,A20),0)</f>
        <v/>
      </c>
      <c r="G20">
        <f>IFERROR(INT(F20/E20),0)</f>
        <v/>
      </c>
      <c r="H20">
        <f>IFERROR(MOD(F20,E20),0)</f>
        <v/>
      </c>
      <c r="I20">
        <f>IFERROR(SUMIFS(Journal!$N:$N,Journal!$B:$B,TRUE,Journal!$D:$D,"ACHAT",Journal!$E:$E,A20)/SUMIFS(Journal!$K:$K,Journal!$B:$B,TRUE,Journal!$D:$D,"ACHAT",Journal!$E:$E,A20),"")</f>
        <v/>
      </c>
    </row>
    <row r="21">
      <c r="F21">
        <f>IFERROR(SUMIFS(Journal!$K:$K,Journal!$B:$B,TRUE,Journal!$E:$E,A21),0)</f>
        <v/>
      </c>
      <c r="G21">
        <f>IFERROR(INT(F21/E21),0)</f>
        <v/>
      </c>
      <c r="H21">
        <f>IFERROR(MOD(F21,E21),0)</f>
        <v/>
      </c>
      <c r="I21">
        <f>IFERROR(SUMIFS(Journal!$N:$N,Journal!$B:$B,TRUE,Journal!$D:$D,"ACHAT",Journal!$E:$E,A21)/SUMIFS(Journal!$K:$K,Journal!$B:$B,TRUE,Journal!$D:$D,"ACHAT",Journal!$E:$E,A21),"")</f>
        <v/>
      </c>
    </row>
    <row r="22">
      <c r="F22">
        <f>IFERROR(SUMIFS(Journal!$K:$K,Journal!$B:$B,TRUE,Journal!$E:$E,A22),0)</f>
        <v/>
      </c>
      <c r="G22">
        <f>IFERROR(INT(F22/E22),0)</f>
        <v/>
      </c>
      <c r="H22">
        <f>IFERROR(MOD(F22,E22),0)</f>
        <v/>
      </c>
      <c r="I22">
        <f>IFERROR(SUMIFS(Journal!$N:$N,Journal!$B:$B,TRUE,Journal!$D:$D,"ACHAT",Journal!$E:$E,A22)/SUMIFS(Journal!$K:$K,Journal!$B:$B,TRUE,Journal!$D:$D,"ACHAT",Journal!$E:$E,A22),"")</f>
        <v/>
      </c>
    </row>
    <row r="23">
      <c r="F23">
        <f>IFERROR(SUMIFS(Journal!$K:$K,Journal!$B:$B,TRUE,Journal!$E:$E,A23),0)</f>
        <v/>
      </c>
      <c r="G23">
        <f>IFERROR(INT(F23/E23),0)</f>
        <v/>
      </c>
      <c r="H23">
        <f>IFERROR(MOD(F23,E23),0)</f>
        <v/>
      </c>
      <c r="I23">
        <f>IFERROR(SUMIFS(Journal!$N:$N,Journal!$B:$B,TRUE,Journal!$D:$D,"ACHAT",Journal!$E:$E,A23)/SUMIFS(Journal!$K:$K,Journal!$B:$B,TRUE,Journal!$D:$D,"ACHAT",Journal!$E:$E,A23),"")</f>
        <v/>
      </c>
    </row>
    <row r="24">
      <c r="F24">
        <f>IFERROR(SUMIFS(Journal!$K:$K,Journal!$B:$B,TRUE,Journal!$E:$E,A24),0)</f>
        <v/>
      </c>
      <c r="G24">
        <f>IFERROR(INT(F24/E24),0)</f>
        <v/>
      </c>
      <c r="H24">
        <f>IFERROR(MOD(F24,E24),0)</f>
        <v/>
      </c>
      <c r="I24">
        <f>IFERROR(SUMIFS(Journal!$N:$N,Journal!$B:$B,TRUE,Journal!$D:$D,"ACHAT",Journal!$E:$E,A24)/SUMIFS(Journal!$K:$K,Journal!$B:$B,TRUE,Journal!$D:$D,"ACHAT",Journal!$E:$E,A24),"")</f>
        <v/>
      </c>
    </row>
    <row r="25">
      <c r="F25">
        <f>IFERROR(SUMIFS(Journal!$K:$K,Journal!$B:$B,TRUE,Journal!$E:$E,A25),0)</f>
        <v/>
      </c>
      <c r="G25">
        <f>IFERROR(INT(F25/E25),0)</f>
        <v/>
      </c>
      <c r="H25">
        <f>IFERROR(MOD(F25,E25),0)</f>
        <v/>
      </c>
      <c r="I25">
        <f>IFERROR(SUMIFS(Journal!$N:$N,Journal!$B:$B,TRUE,Journal!$D:$D,"ACHAT",Journal!$E:$E,A25)/SUMIFS(Journal!$K:$K,Journal!$B:$B,TRUE,Journal!$D:$D,"ACHAT",Journal!$E:$E,A25),"")</f>
        <v/>
      </c>
    </row>
    <row r="26">
      <c r="F26">
        <f>IFERROR(SUMIFS(Journal!$K:$K,Journal!$B:$B,TRUE,Journal!$E:$E,A26),0)</f>
        <v/>
      </c>
      <c r="G26">
        <f>IFERROR(INT(F26/E26),0)</f>
        <v/>
      </c>
      <c r="H26">
        <f>IFERROR(MOD(F26,E26),0)</f>
        <v/>
      </c>
      <c r="I26">
        <f>IFERROR(SUMIFS(Journal!$N:$N,Journal!$B:$B,TRUE,Journal!$D:$D,"ACHAT",Journal!$E:$E,A26)/SUMIFS(Journal!$K:$K,Journal!$B:$B,TRUE,Journal!$D:$D,"ACHAT",Journal!$E:$E,A26),"")</f>
        <v/>
      </c>
    </row>
    <row r="27">
      <c r="F27">
        <f>IFERROR(SUMIFS(Journal!$K:$K,Journal!$B:$B,TRUE,Journal!$E:$E,A27),0)</f>
        <v/>
      </c>
      <c r="G27">
        <f>IFERROR(INT(F27/E27),0)</f>
        <v/>
      </c>
      <c r="H27">
        <f>IFERROR(MOD(F27,E27),0)</f>
        <v/>
      </c>
      <c r="I27">
        <f>IFERROR(SUMIFS(Journal!$N:$N,Journal!$B:$B,TRUE,Journal!$D:$D,"ACHAT",Journal!$E:$E,A27)/SUMIFS(Journal!$K:$K,Journal!$B:$B,TRUE,Journal!$D:$D,"ACHAT",Journal!$E:$E,A27),"")</f>
        <v/>
      </c>
    </row>
    <row r="28">
      <c r="F28">
        <f>IFERROR(SUMIFS(Journal!$K:$K,Journal!$B:$B,TRUE,Journal!$E:$E,A28),0)</f>
        <v/>
      </c>
      <c r="G28">
        <f>IFERROR(INT(F28/E28),0)</f>
        <v/>
      </c>
      <c r="H28">
        <f>IFERROR(MOD(F28,E28),0)</f>
        <v/>
      </c>
      <c r="I28">
        <f>IFERROR(SUMIFS(Journal!$N:$N,Journal!$B:$B,TRUE,Journal!$D:$D,"ACHAT",Journal!$E:$E,A28)/SUMIFS(Journal!$K:$K,Journal!$B:$B,TRUE,Journal!$D:$D,"ACHAT",Journal!$E:$E,A28),"")</f>
        <v/>
      </c>
    </row>
    <row r="29">
      <c r="F29">
        <f>IFERROR(SUMIFS(Journal!$K:$K,Journal!$B:$B,TRUE,Journal!$E:$E,A29),0)</f>
        <v/>
      </c>
      <c r="G29">
        <f>IFERROR(INT(F29/E29),0)</f>
        <v/>
      </c>
      <c r="H29">
        <f>IFERROR(MOD(F29,E29),0)</f>
        <v/>
      </c>
      <c r="I29">
        <f>IFERROR(SUMIFS(Journal!$N:$N,Journal!$B:$B,TRUE,Journal!$D:$D,"ACHAT",Journal!$E:$E,A29)/SUMIFS(Journal!$K:$K,Journal!$B:$B,TRUE,Journal!$D:$D,"ACHAT",Journal!$E:$E,A29),"")</f>
        <v/>
      </c>
    </row>
    <row r="30">
      <c r="F30">
        <f>IFERROR(SUMIFS(Journal!$K:$K,Journal!$B:$B,TRUE,Journal!$E:$E,A30),0)</f>
        <v/>
      </c>
      <c r="G30">
        <f>IFERROR(INT(F30/E30),0)</f>
        <v/>
      </c>
      <c r="H30">
        <f>IFERROR(MOD(F30,E30),0)</f>
        <v/>
      </c>
      <c r="I30">
        <f>IFERROR(SUMIFS(Journal!$N:$N,Journal!$B:$B,TRUE,Journal!$D:$D,"ACHAT",Journal!$E:$E,A30)/SUMIFS(Journal!$K:$K,Journal!$B:$B,TRUE,Journal!$D:$D,"ACHAT",Journal!$E:$E,A30),"")</f>
        <v/>
      </c>
    </row>
    <row r="31">
      <c r="F31">
        <f>IFERROR(SUMIFS(Journal!$K:$K,Journal!$B:$B,TRUE,Journal!$E:$E,A31),0)</f>
        <v/>
      </c>
      <c r="G31">
        <f>IFERROR(INT(F31/E31),0)</f>
        <v/>
      </c>
      <c r="H31">
        <f>IFERROR(MOD(F31,E31),0)</f>
        <v/>
      </c>
      <c r="I31">
        <f>IFERROR(SUMIFS(Journal!$N:$N,Journal!$B:$B,TRUE,Journal!$D:$D,"ACHAT",Journal!$E:$E,A31)/SUMIFS(Journal!$K:$K,Journal!$B:$B,TRUE,Journal!$D:$D,"ACHAT",Journal!$E:$E,A31),"")</f>
        <v/>
      </c>
    </row>
    <row r="32">
      <c r="F32">
        <f>IFERROR(SUMIFS(Journal!$K:$K,Journal!$B:$B,TRUE,Journal!$E:$E,A32),0)</f>
        <v/>
      </c>
      <c r="G32">
        <f>IFERROR(INT(F32/E32),0)</f>
        <v/>
      </c>
      <c r="H32">
        <f>IFERROR(MOD(F32,E32),0)</f>
        <v/>
      </c>
      <c r="I32">
        <f>IFERROR(SUMIFS(Journal!$N:$N,Journal!$B:$B,TRUE,Journal!$D:$D,"ACHAT",Journal!$E:$E,A32)/SUMIFS(Journal!$K:$K,Journal!$B:$B,TRUE,Journal!$D:$D,"ACHAT",Journal!$E:$E,A32),"")</f>
        <v/>
      </c>
    </row>
    <row r="33">
      <c r="F33">
        <f>IFERROR(SUMIFS(Journal!$K:$K,Journal!$B:$B,TRUE,Journal!$E:$E,A33),0)</f>
        <v/>
      </c>
      <c r="G33">
        <f>IFERROR(INT(F33/E33),0)</f>
        <v/>
      </c>
      <c r="H33">
        <f>IFERROR(MOD(F33,E33),0)</f>
        <v/>
      </c>
      <c r="I33">
        <f>IFERROR(SUMIFS(Journal!$N:$N,Journal!$B:$B,TRUE,Journal!$D:$D,"ACHAT",Journal!$E:$E,A33)/SUMIFS(Journal!$K:$K,Journal!$B:$B,TRUE,Journal!$D:$D,"ACHAT",Journal!$E:$E,A33),"")</f>
        <v/>
      </c>
    </row>
    <row r="34">
      <c r="F34">
        <f>IFERROR(SUMIFS(Journal!$K:$K,Journal!$B:$B,TRUE,Journal!$E:$E,A34),0)</f>
        <v/>
      </c>
      <c r="G34">
        <f>IFERROR(INT(F34/E34),0)</f>
        <v/>
      </c>
      <c r="H34">
        <f>IFERROR(MOD(F34,E34),0)</f>
        <v/>
      </c>
      <c r="I34">
        <f>IFERROR(SUMIFS(Journal!$N:$N,Journal!$B:$B,TRUE,Journal!$D:$D,"ACHAT",Journal!$E:$E,A34)/SUMIFS(Journal!$K:$K,Journal!$B:$B,TRUE,Journal!$D:$D,"ACHAT",Journal!$E:$E,A34),"")</f>
        <v/>
      </c>
    </row>
    <row r="35">
      <c r="F35">
        <f>IFERROR(SUMIFS(Journal!$K:$K,Journal!$B:$B,TRUE,Journal!$E:$E,A35),0)</f>
        <v/>
      </c>
      <c r="G35">
        <f>IFERROR(INT(F35/E35),0)</f>
        <v/>
      </c>
      <c r="H35">
        <f>IFERROR(MOD(F35,E35),0)</f>
        <v/>
      </c>
      <c r="I35">
        <f>IFERROR(SUMIFS(Journal!$N:$N,Journal!$B:$B,TRUE,Journal!$D:$D,"ACHAT",Journal!$E:$E,A35)/SUMIFS(Journal!$K:$K,Journal!$B:$B,TRUE,Journal!$D:$D,"ACHAT",Journal!$E:$E,A35),"")</f>
        <v/>
      </c>
    </row>
    <row r="36">
      <c r="F36">
        <f>IFERROR(SUMIFS(Journal!$K:$K,Journal!$B:$B,TRUE,Journal!$E:$E,A36),0)</f>
        <v/>
      </c>
      <c r="G36">
        <f>IFERROR(INT(F36/E36),0)</f>
        <v/>
      </c>
      <c r="H36">
        <f>IFERROR(MOD(F36,E36),0)</f>
        <v/>
      </c>
      <c r="I36">
        <f>IFERROR(SUMIFS(Journal!$N:$N,Journal!$B:$B,TRUE,Journal!$D:$D,"ACHAT",Journal!$E:$E,A36)/SUMIFS(Journal!$K:$K,Journal!$B:$B,TRUE,Journal!$D:$D,"ACHAT",Journal!$E:$E,A36),"")</f>
        <v/>
      </c>
    </row>
    <row r="37">
      <c r="F37">
        <f>IFERROR(SUMIFS(Journal!$K:$K,Journal!$B:$B,TRUE,Journal!$E:$E,A37),0)</f>
        <v/>
      </c>
      <c r="G37">
        <f>IFERROR(INT(F37/E37),0)</f>
        <v/>
      </c>
      <c r="H37">
        <f>IFERROR(MOD(F37,E37),0)</f>
        <v/>
      </c>
      <c r="I37">
        <f>IFERROR(SUMIFS(Journal!$N:$N,Journal!$B:$B,TRUE,Journal!$D:$D,"ACHAT",Journal!$E:$E,A37)/SUMIFS(Journal!$K:$K,Journal!$B:$B,TRUE,Journal!$D:$D,"ACHAT",Journal!$E:$E,A37),"")</f>
        <v/>
      </c>
    </row>
    <row r="38">
      <c r="F38">
        <f>IFERROR(SUMIFS(Journal!$K:$K,Journal!$B:$B,TRUE,Journal!$E:$E,A38),0)</f>
        <v/>
      </c>
      <c r="G38">
        <f>IFERROR(INT(F38/E38),0)</f>
        <v/>
      </c>
      <c r="H38">
        <f>IFERROR(MOD(F38,E38),0)</f>
        <v/>
      </c>
      <c r="I38">
        <f>IFERROR(SUMIFS(Journal!$N:$N,Journal!$B:$B,TRUE,Journal!$D:$D,"ACHAT",Journal!$E:$E,A38)/SUMIFS(Journal!$K:$K,Journal!$B:$B,TRUE,Journal!$D:$D,"ACHAT",Journal!$E:$E,A38),"")</f>
        <v/>
      </c>
    </row>
    <row r="39">
      <c r="F39">
        <f>IFERROR(SUMIFS(Journal!$K:$K,Journal!$B:$B,TRUE,Journal!$E:$E,A39),0)</f>
        <v/>
      </c>
      <c r="G39">
        <f>IFERROR(INT(F39/E39),0)</f>
        <v/>
      </c>
      <c r="H39">
        <f>IFERROR(MOD(F39,E39),0)</f>
        <v/>
      </c>
      <c r="I39">
        <f>IFERROR(SUMIFS(Journal!$N:$N,Journal!$B:$B,TRUE,Journal!$D:$D,"ACHAT",Journal!$E:$E,A39)/SUMIFS(Journal!$K:$K,Journal!$B:$B,TRUE,Journal!$D:$D,"ACHAT",Journal!$E:$E,A39),"")</f>
        <v/>
      </c>
    </row>
    <row r="40">
      <c r="F40">
        <f>IFERROR(SUMIFS(Journal!$K:$K,Journal!$B:$B,TRUE,Journal!$E:$E,A40),0)</f>
        <v/>
      </c>
      <c r="G40">
        <f>IFERROR(INT(F40/E40),0)</f>
        <v/>
      </c>
      <c r="H40">
        <f>IFERROR(MOD(F40,E40),0)</f>
        <v/>
      </c>
      <c r="I40">
        <f>IFERROR(SUMIFS(Journal!$N:$N,Journal!$B:$B,TRUE,Journal!$D:$D,"ACHAT",Journal!$E:$E,A40)/SUMIFS(Journal!$K:$K,Journal!$B:$B,TRUE,Journal!$D:$D,"ACHAT",Journal!$E:$E,A40),"")</f>
        <v/>
      </c>
    </row>
    <row r="41">
      <c r="F41">
        <f>IFERROR(SUMIFS(Journal!$K:$K,Journal!$B:$B,TRUE,Journal!$E:$E,A41),0)</f>
        <v/>
      </c>
      <c r="G41">
        <f>IFERROR(INT(F41/E41),0)</f>
        <v/>
      </c>
      <c r="H41">
        <f>IFERROR(MOD(F41,E41),0)</f>
        <v/>
      </c>
      <c r="I41">
        <f>IFERROR(SUMIFS(Journal!$N:$N,Journal!$B:$B,TRUE,Journal!$D:$D,"ACHAT",Journal!$E:$E,A41)/SUMIFS(Journal!$K:$K,Journal!$B:$B,TRUE,Journal!$D:$D,"ACHAT",Journal!$E:$E,A41),"")</f>
        <v/>
      </c>
    </row>
    <row r="42">
      <c r="F42">
        <f>IFERROR(SUMIFS(Journal!$K:$K,Journal!$B:$B,TRUE,Journal!$E:$E,A42),0)</f>
        <v/>
      </c>
      <c r="G42">
        <f>IFERROR(INT(F42/E42),0)</f>
        <v/>
      </c>
      <c r="H42">
        <f>IFERROR(MOD(F42,E42),0)</f>
        <v/>
      </c>
      <c r="I42">
        <f>IFERROR(SUMIFS(Journal!$N:$N,Journal!$B:$B,TRUE,Journal!$D:$D,"ACHAT",Journal!$E:$E,A42)/SUMIFS(Journal!$K:$K,Journal!$B:$B,TRUE,Journal!$D:$D,"ACHAT",Journal!$E:$E,A42),"")</f>
        <v/>
      </c>
    </row>
    <row r="43">
      <c r="F43">
        <f>IFERROR(SUMIFS(Journal!$K:$K,Journal!$B:$B,TRUE,Journal!$E:$E,A43),0)</f>
        <v/>
      </c>
      <c r="G43">
        <f>IFERROR(INT(F43/E43),0)</f>
        <v/>
      </c>
      <c r="H43">
        <f>IFERROR(MOD(F43,E43),0)</f>
        <v/>
      </c>
      <c r="I43">
        <f>IFERROR(SUMIFS(Journal!$N:$N,Journal!$B:$B,TRUE,Journal!$D:$D,"ACHAT",Journal!$E:$E,A43)/SUMIFS(Journal!$K:$K,Journal!$B:$B,TRUE,Journal!$D:$D,"ACHAT",Journal!$E:$E,A43),"")</f>
        <v/>
      </c>
    </row>
    <row r="44">
      <c r="F44">
        <f>IFERROR(SUMIFS(Journal!$K:$K,Journal!$B:$B,TRUE,Journal!$E:$E,A44),0)</f>
        <v/>
      </c>
      <c r="G44">
        <f>IFERROR(INT(F44/E44),0)</f>
        <v/>
      </c>
      <c r="H44">
        <f>IFERROR(MOD(F44,E44),0)</f>
        <v/>
      </c>
      <c r="I44">
        <f>IFERROR(SUMIFS(Journal!$N:$N,Journal!$B:$B,TRUE,Journal!$D:$D,"ACHAT",Journal!$E:$E,A44)/SUMIFS(Journal!$K:$K,Journal!$B:$B,TRUE,Journal!$D:$D,"ACHAT",Journal!$E:$E,A44),"")</f>
        <v/>
      </c>
    </row>
    <row r="45">
      <c r="F45">
        <f>IFERROR(SUMIFS(Journal!$K:$K,Journal!$B:$B,TRUE,Journal!$E:$E,A45),0)</f>
        <v/>
      </c>
      <c r="G45">
        <f>IFERROR(INT(F45/E45),0)</f>
        <v/>
      </c>
      <c r="H45">
        <f>IFERROR(MOD(F45,E45),0)</f>
        <v/>
      </c>
      <c r="I45">
        <f>IFERROR(SUMIFS(Journal!$N:$N,Journal!$B:$B,TRUE,Journal!$D:$D,"ACHAT",Journal!$E:$E,A45)/SUMIFS(Journal!$K:$K,Journal!$B:$B,TRUE,Journal!$D:$D,"ACHAT",Journal!$E:$E,A45),"")</f>
        <v/>
      </c>
    </row>
    <row r="46">
      <c r="F46">
        <f>IFERROR(SUMIFS(Journal!$K:$K,Journal!$B:$B,TRUE,Journal!$E:$E,A46),0)</f>
        <v/>
      </c>
      <c r="G46">
        <f>IFERROR(INT(F46/E46),0)</f>
        <v/>
      </c>
      <c r="H46">
        <f>IFERROR(MOD(F46,E46),0)</f>
        <v/>
      </c>
      <c r="I46">
        <f>IFERROR(SUMIFS(Journal!$N:$N,Journal!$B:$B,TRUE,Journal!$D:$D,"ACHAT",Journal!$E:$E,A46)/SUMIFS(Journal!$K:$K,Journal!$B:$B,TRUE,Journal!$D:$D,"ACHAT",Journal!$E:$E,A46),"")</f>
        <v/>
      </c>
    </row>
    <row r="47">
      <c r="F47">
        <f>IFERROR(SUMIFS(Journal!$K:$K,Journal!$B:$B,TRUE,Journal!$E:$E,A47),0)</f>
        <v/>
      </c>
      <c r="G47">
        <f>IFERROR(INT(F47/E47),0)</f>
        <v/>
      </c>
      <c r="H47">
        <f>IFERROR(MOD(F47,E47),0)</f>
        <v/>
      </c>
      <c r="I47">
        <f>IFERROR(SUMIFS(Journal!$N:$N,Journal!$B:$B,TRUE,Journal!$D:$D,"ACHAT",Journal!$E:$E,A47)/SUMIFS(Journal!$K:$K,Journal!$B:$B,TRUE,Journal!$D:$D,"ACHAT",Journal!$E:$E,A47),"")</f>
        <v/>
      </c>
    </row>
    <row r="48">
      <c r="F48">
        <f>IFERROR(SUMIFS(Journal!$K:$K,Journal!$B:$B,TRUE,Journal!$E:$E,A48),0)</f>
        <v/>
      </c>
      <c r="G48">
        <f>IFERROR(INT(F48/E48),0)</f>
        <v/>
      </c>
      <c r="H48">
        <f>IFERROR(MOD(F48,E48),0)</f>
        <v/>
      </c>
      <c r="I48">
        <f>IFERROR(SUMIFS(Journal!$N:$N,Journal!$B:$B,TRUE,Journal!$D:$D,"ACHAT",Journal!$E:$E,A48)/SUMIFS(Journal!$K:$K,Journal!$B:$B,TRUE,Journal!$D:$D,"ACHAT",Journal!$E:$E,A48),"")</f>
        <v/>
      </c>
    </row>
    <row r="49">
      <c r="F49">
        <f>IFERROR(SUMIFS(Journal!$K:$K,Journal!$B:$B,TRUE,Journal!$E:$E,A49),0)</f>
        <v/>
      </c>
      <c r="G49">
        <f>IFERROR(INT(F49/E49),0)</f>
        <v/>
      </c>
      <c r="H49">
        <f>IFERROR(MOD(F49,E49),0)</f>
        <v/>
      </c>
      <c r="I49">
        <f>IFERROR(SUMIFS(Journal!$N:$N,Journal!$B:$B,TRUE,Journal!$D:$D,"ACHAT",Journal!$E:$E,A49)/SUMIFS(Journal!$K:$K,Journal!$B:$B,TRUE,Journal!$D:$D,"ACHAT",Journal!$E:$E,A49),"")</f>
        <v/>
      </c>
    </row>
    <row r="50">
      <c r="F50">
        <f>IFERROR(SUMIFS(Journal!$K:$K,Journal!$B:$B,TRUE,Journal!$E:$E,A50),0)</f>
        <v/>
      </c>
      <c r="G50">
        <f>IFERROR(INT(F50/E50),0)</f>
        <v/>
      </c>
      <c r="H50">
        <f>IFERROR(MOD(F50,E50),0)</f>
        <v/>
      </c>
      <c r="I50">
        <f>IFERROR(SUMIFS(Journal!$N:$N,Journal!$B:$B,TRUE,Journal!$D:$D,"ACHAT",Journal!$E:$E,A50)/SUMIFS(Journal!$K:$K,Journal!$B:$B,TRUE,Journal!$D:$D,"ACHAT",Journal!$E:$E,A50),"")</f>
        <v/>
      </c>
    </row>
    <row r="51">
      <c r="F51">
        <f>IFERROR(SUMIFS(Journal!$K:$K,Journal!$B:$B,TRUE,Journal!$E:$E,A51),0)</f>
        <v/>
      </c>
      <c r="G51">
        <f>IFERROR(INT(F51/E51),0)</f>
        <v/>
      </c>
      <c r="H51">
        <f>IFERROR(MOD(F51,E51),0)</f>
        <v/>
      </c>
      <c r="I51">
        <f>IFERROR(SUMIFS(Journal!$N:$N,Journal!$B:$B,TRUE,Journal!$D:$D,"ACHAT",Journal!$E:$E,A51)/SUMIFS(Journal!$K:$K,Journal!$B:$B,TRUE,Journal!$D:$D,"ACHAT",Journal!$E:$E,A51),"")</f>
        <v/>
      </c>
    </row>
    <row r="52">
      <c r="F52">
        <f>IFERROR(SUMIFS(Journal!$K:$K,Journal!$B:$B,TRUE,Journal!$E:$E,A52),0)</f>
        <v/>
      </c>
      <c r="G52">
        <f>IFERROR(INT(F52/E52),0)</f>
        <v/>
      </c>
      <c r="H52">
        <f>IFERROR(MOD(F52,E52),0)</f>
        <v/>
      </c>
      <c r="I52">
        <f>IFERROR(SUMIFS(Journal!$N:$N,Journal!$B:$B,TRUE,Journal!$D:$D,"ACHAT",Journal!$E:$E,A52)/SUMIFS(Journal!$K:$K,Journal!$B:$B,TRUE,Journal!$D:$D,"ACHAT",Journal!$E:$E,A52),"")</f>
        <v/>
      </c>
    </row>
    <row r="53">
      <c r="F53">
        <f>IFERROR(SUMIFS(Journal!$K:$K,Journal!$B:$B,TRUE,Journal!$E:$E,A53),0)</f>
        <v/>
      </c>
      <c r="G53">
        <f>IFERROR(INT(F53/E53),0)</f>
        <v/>
      </c>
      <c r="H53">
        <f>IFERROR(MOD(F53,E53),0)</f>
        <v/>
      </c>
      <c r="I53">
        <f>IFERROR(SUMIFS(Journal!$N:$N,Journal!$B:$B,TRUE,Journal!$D:$D,"ACHAT",Journal!$E:$E,A53)/SUMIFS(Journal!$K:$K,Journal!$B:$B,TRUE,Journal!$D:$D,"ACHAT",Journal!$E:$E,A53),"")</f>
        <v/>
      </c>
    </row>
    <row r="54">
      <c r="F54">
        <f>IFERROR(SUMIFS(Journal!$K:$K,Journal!$B:$B,TRUE,Journal!$E:$E,A54),0)</f>
        <v/>
      </c>
      <c r="G54">
        <f>IFERROR(INT(F54/E54),0)</f>
        <v/>
      </c>
      <c r="H54">
        <f>IFERROR(MOD(F54,E54),0)</f>
        <v/>
      </c>
      <c r="I54">
        <f>IFERROR(SUMIFS(Journal!$N:$N,Journal!$B:$B,TRUE,Journal!$D:$D,"ACHAT",Journal!$E:$E,A54)/SUMIFS(Journal!$K:$K,Journal!$B:$B,TRUE,Journal!$D:$D,"ACHAT",Journal!$E:$E,A54),"")</f>
        <v/>
      </c>
    </row>
    <row r="55">
      <c r="F55">
        <f>IFERROR(SUMIFS(Journal!$K:$K,Journal!$B:$B,TRUE,Journal!$E:$E,A55),0)</f>
        <v/>
      </c>
      <c r="G55">
        <f>IFERROR(INT(F55/E55),0)</f>
        <v/>
      </c>
      <c r="H55">
        <f>IFERROR(MOD(F55,E55),0)</f>
        <v/>
      </c>
      <c r="I55">
        <f>IFERROR(SUMIFS(Journal!$N:$N,Journal!$B:$B,TRUE,Journal!$D:$D,"ACHAT",Journal!$E:$E,A55)/SUMIFS(Journal!$K:$K,Journal!$B:$B,TRUE,Journal!$D:$D,"ACHAT",Journal!$E:$E,A55),"")</f>
        <v/>
      </c>
    </row>
    <row r="56">
      <c r="F56">
        <f>IFERROR(SUMIFS(Journal!$K:$K,Journal!$B:$B,TRUE,Journal!$E:$E,A56),0)</f>
        <v/>
      </c>
      <c r="G56">
        <f>IFERROR(INT(F56/E56),0)</f>
        <v/>
      </c>
      <c r="H56">
        <f>IFERROR(MOD(F56,E56),0)</f>
        <v/>
      </c>
      <c r="I56">
        <f>IFERROR(SUMIFS(Journal!$N:$N,Journal!$B:$B,TRUE,Journal!$D:$D,"ACHAT",Journal!$E:$E,A56)/SUMIFS(Journal!$K:$K,Journal!$B:$B,TRUE,Journal!$D:$D,"ACHAT",Journal!$E:$E,A56),"")</f>
        <v/>
      </c>
    </row>
    <row r="57">
      <c r="F57">
        <f>IFERROR(SUMIFS(Journal!$K:$K,Journal!$B:$B,TRUE,Journal!$E:$E,A57),0)</f>
        <v/>
      </c>
      <c r="G57">
        <f>IFERROR(INT(F57/E57),0)</f>
        <v/>
      </c>
      <c r="H57">
        <f>IFERROR(MOD(F57,E57),0)</f>
        <v/>
      </c>
      <c r="I57">
        <f>IFERROR(SUMIFS(Journal!$N:$N,Journal!$B:$B,TRUE,Journal!$D:$D,"ACHAT",Journal!$E:$E,A57)/SUMIFS(Journal!$K:$K,Journal!$B:$B,TRUE,Journal!$D:$D,"ACHAT",Journal!$E:$E,A57),"")</f>
        <v/>
      </c>
    </row>
    <row r="58">
      <c r="F58">
        <f>IFERROR(SUMIFS(Journal!$K:$K,Journal!$B:$B,TRUE,Journal!$E:$E,A58),0)</f>
        <v/>
      </c>
      <c r="G58">
        <f>IFERROR(INT(F58/E58),0)</f>
        <v/>
      </c>
      <c r="H58">
        <f>IFERROR(MOD(F58,E58),0)</f>
        <v/>
      </c>
      <c r="I58">
        <f>IFERROR(SUMIFS(Journal!$N:$N,Journal!$B:$B,TRUE,Journal!$D:$D,"ACHAT",Journal!$E:$E,A58)/SUMIFS(Journal!$K:$K,Journal!$B:$B,TRUE,Journal!$D:$D,"ACHAT",Journal!$E:$E,A58),"")</f>
        <v/>
      </c>
    </row>
    <row r="59">
      <c r="F59">
        <f>IFERROR(SUMIFS(Journal!$K:$K,Journal!$B:$B,TRUE,Journal!$E:$E,A59),0)</f>
        <v/>
      </c>
      <c r="G59">
        <f>IFERROR(INT(F59/E59),0)</f>
        <v/>
      </c>
      <c r="H59">
        <f>IFERROR(MOD(F59,E59),0)</f>
        <v/>
      </c>
      <c r="I59">
        <f>IFERROR(SUMIFS(Journal!$N:$N,Journal!$B:$B,TRUE,Journal!$D:$D,"ACHAT",Journal!$E:$E,A59)/SUMIFS(Journal!$K:$K,Journal!$B:$B,TRUE,Journal!$D:$D,"ACHAT",Journal!$E:$E,A59),"")</f>
        <v/>
      </c>
    </row>
    <row r="60">
      <c r="F60">
        <f>IFERROR(SUMIFS(Journal!$K:$K,Journal!$B:$B,TRUE,Journal!$E:$E,A60),0)</f>
        <v/>
      </c>
      <c r="G60">
        <f>IFERROR(INT(F60/E60),0)</f>
        <v/>
      </c>
      <c r="H60">
        <f>IFERROR(MOD(F60,E60),0)</f>
        <v/>
      </c>
      <c r="I60">
        <f>IFERROR(SUMIFS(Journal!$N:$N,Journal!$B:$B,TRUE,Journal!$D:$D,"ACHAT",Journal!$E:$E,A60)/SUMIFS(Journal!$K:$K,Journal!$B:$B,TRUE,Journal!$D:$D,"ACHAT",Journal!$E:$E,A60),"")</f>
        <v/>
      </c>
    </row>
    <row r="61">
      <c r="F61">
        <f>IFERROR(SUMIFS(Journal!$K:$K,Journal!$B:$B,TRUE,Journal!$E:$E,A61),0)</f>
        <v/>
      </c>
      <c r="G61">
        <f>IFERROR(INT(F61/E61),0)</f>
        <v/>
      </c>
      <c r="H61">
        <f>IFERROR(MOD(F61,E61),0)</f>
        <v/>
      </c>
      <c r="I61">
        <f>IFERROR(SUMIFS(Journal!$N:$N,Journal!$B:$B,TRUE,Journal!$D:$D,"ACHAT",Journal!$E:$E,A61)/SUMIFS(Journal!$K:$K,Journal!$B:$B,TRUE,Journal!$D:$D,"ACHAT",Journal!$E:$E,A61),"")</f>
        <v/>
      </c>
    </row>
    <row r="62">
      <c r="F62">
        <f>IFERROR(SUMIFS(Journal!$K:$K,Journal!$B:$B,TRUE,Journal!$E:$E,A62),0)</f>
        <v/>
      </c>
      <c r="G62">
        <f>IFERROR(INT(F62/E62),0)</f>
        <v/>
      </c>
      <c r="H62">
        <f>IFERROR(MOD(F62,E62),0)</f>
        <v/>
      </c>
      <c r="I62">
        <f>IFERROR(SUMIFS(Journal!$N:$N,Journal!$B:$B,TRUE,Journal!$D:$D,"ACHAT",Journal!$E:$E,A62)/SUMIFS(Journal!$K:$K,Journal!$B:$B,TRUE,Journal!$D:$D,"ACHAT",Journal!$E:$E,A62),"")</f>
        <v/>
      </c>
    </row>
    <row r="63">
      <c r="F63">
        <f>IFERROR(SUMIFS(Journal!$K:$K,Journal!$B:$B,TRUE,Journal!$E:$E,A63),0)</f>
        <v/>
      </c>
      <c r="G63">
        <f>IFERROR(INT(F63/E63),0)</f>
        <v/>
      </c>
      <c r="H63">
        <f>IFERROR(MOD(F63,E63),0)</f>
        <v/>
      </c>
      <c r="I63">
        <f>IFERROR(SUMIFS(Journal!$N:$N,Journal!$B:$B,TRUE,Journal!$D:$D,"ACHAT",Journal!$E:$E,A63)/SUMIFS(Journal!$K:$K,Journal!$B:$B,TRUE,Journal!$D:$D,"ACHAT",Journal!$E:$E,A63),"")</f>
        <v/>
      </c>
    </row>
    <row r="64">
      <c r="F64">
        <f>IFERROR(SUMIFS(Journal!$K:$K,Journal!$B:$B,TRUE,Journal!$E:$E,A64),0)</f>
        <v/>
      </c>
      <c r="G64">
        <f>IFERROR(INT(F64/E64),0)</f>
        <v/>
      </c>
      <c r="H64">
        <f>IFERROR(MOD(F64,E64),0)</f>
        <v/>
      </c>
      <c r="I64">
        <f>IFERROR(SUMIFS(Journal!$N:$N,Journal!$B:$B,TRUE,Journal!$D:$D,"ACHAT",Journal!$E:$E,A64)/SUMIFS(Journal!$K:$K,Journal!$B:$B,TRUE,Journal!$D:$D,"ACHAT",Journal!$E:$E,A64),"")</f>
        <v/>
      </c>
    </row>
    <row r="65">
      <c r="F65">
        <f>IFERROR(SUMIFS(Journal!$K:$K,Journal!$B:$B,TRUE,Journal!$E:$E,A65),0)</f>
        <v/>
      </c>
      <c r="G65">
        <f>IFERROR(INT(F65/E65),0)</f>
        <v/>
      </c>
      <c r="H65">
        <f>IFERROR(MOD(F65,E65),0)</f>
        <v/>
      </c>
      <c r="I65">
        <f>IFERROR(SUMIFS(Journal!$N:$N,Journal!$B:$B,TRUE,Journal!$D:$D,"ACHAT",Journal!$E:$E,A65)/SUMIFS(Journal!$K:$K,Journal!$B:$B,TRUE,Journal!$D:$D,"ACHAT",Journal!$E:$E,A65),"")</f>
        <v/>
      </c>
    </row>
    <row r="66">
      <c r="F66">
        <f>IFERROR(SUMIFS(Journal!$K:$K,Journal!$B:$B,TRUE,Journal!$E:$E,A66),0)</f>
        <v/>
      </c>
      <c r="G66">
        <f>IFERROR(INT(F66/E66),0)</f>
        <v/>
      </c>
      <c r="H66">
        <f>IFERROR(MOD(F66,E66),0)</f>
        <v/>
      </c>
      <c r="I66">
        <f>IFERROR(SUMIFS(Journal!$N:$N,Journal!$B:$B,TRUE,Journal!$D:$D,"ACHAT",Journal!$E:$E,A66)/SUMIFS(Journal!$K:$K,Journal!$B:$B,TRUE,Journal!$D:$D,"ACHAT",Journal!$E:$E,A66),"")</f>
        <v/>
      </c>
    </row>
    <row r="67">
      <c r="F67">
        <f>IFERROR(SUMIFS(Journal!$K:$K,Journal!$B:$B,TRUE,Journal!$E:$E,A67),0)</f>
        <v/>
      </c>
      <c r="G67">
        <f>IFERROR(INT(F67/E67),0)</f>
        <v/>
      </c>
      <c r="H67">
        <f>IFERROR(MOD(F67,E67),0)</f>
        <v/>
      </c>
      <c r="I67">
        <f>IFERROR(SUMIFS(Journal!$N:$N,Journal!$B:$B,TRUE,Journal!$D:$D,"ACHAT",Journal!$E:$E,A67)/SUMIFS(Journal!$K:$K,Journal!$B:$B,TRUE,Journal!$D:$D,"ACHAT",Journal!$E:$E,A67),"")</f>
        <v/>
      </c>
    </row>
    <row r="68">
      <c r="F68">
        <f>IFERROR(SUMIFS(Journal!$K:$K,Journal!$B:$B,TRUE,Journal!$E:$E,A68),0)</f>
        <v/>
      </c>
      <c r="G68">
        <f>IFERROR(INT(F68/E68),0)</f>
        <v/>
      </c>
      <c r="H68">
        <f>IFERROR(MOD(F68,E68),0)</f>
        <v/>
      </c>
      <c r="I68">
        <f>IFERROR(SUMIFS(Journal!$N:$N,Journal!$B:$B,TRUE,Journal!$D:$D,"ACHAT",Journal!$E:$E,A68)/SUMIFS(Journal!$K:$K,Journal!$B:$B,TRUE,Journal!$D:$D,"ACHAT",Journal!$E:$E,A68),"")</f>
        <v/>
      </c>
    </row>
    <row r="69">
      <c r="F69">
        <f>IFERROR(SUMIFS(Journal!$K:$K,Journal!$B:$B,TRUE,Journal!$E:$E,A69),0)</f>
        <v/>
      </c>
      <c r="G69">
        <f>IFERROR(INT(F69/E69),0)</f>
        <v/>
      </c>
      <c r="H69">
        <f>IFERROR(MOD(F69,E69),0)</f>
        <v/>
      </c>
      <c r="I69">
        <f>IFERROR(SUMIFS(Journal!$N:$N,Journal!$B:$B,TRUE,Journal!$D:$D,"ACHAT",Journal!$E:$E,A69)/SUMIFS(Journal!$K:$K,Journal!$B:$B,TRUE,Journal!$D:$D,"ACHAT",Journal!$E:$E,A69),"")</f>
        <v/>
      </c>
    </row>
    <row r="70">
      <c r="F70">
        <f>IFERROR(SUMIFS(Journal!$K:$K,Journal!$B:$B,TRUE,Journal!$E:$E,A70),0)</f>
        <v/>
      </c>
      <c r="G70">
        <f>IFERROR(INT(F70/E70),0)</f>
        <v/>
      </c>
      <c r="H70">
        <f>IFERROR(MOD(F70,E70),0)</f>
        <v/>
      </c>
      <c r="I70">
        <f>IFERROR(SUMIFS(Journal!$N:$N,Journal!$B:$B,TRUE,Journal!$D:$D,"ACHAT",Journal!$E:$E,A70)/SUMIFS(Journal!$K:$K,Journal!$B:$B,TRUE,Journal!$D:$D,"ACHAT",Journal!$E:$E,A70),"")</f>
        <v/>
      </c>
    </row>
    <row r="71">
      <c r="F71">
        <f>IFERROR(SUMIFS(Journal!$K:$K,Journal!$B:$B,TRUE,Journal!$E:$E,A71),0)</f>
        <v/>
      </c>
      <c r="G71">
        <f>IFERROR(INT(F71/E71),0)</f>
        <v/>
      </c>
      <c r="H71">
        <f>IFERROR(MOD(F71,E71),0)</f>
        <v/>
      </c>
      <c r="I71">
        <f>IFERROR(SUMIFS(Journal!$N:$N,Journal!$B:$B,TRUE,Journal!$D:$D,"ACHAT",Journal!$E:$E,A71)/SUMIFS(Journal!$K:$K,Journal!$B:$B,TRUE,Journal!$D:$D,"ACHAT",Journal!$E:$E,A71),"")</f>
        <v/>
      </c>
    </row>
    <row r="72">
      <c r="F72">
        <f>IFERROR(SUMIFS(Journal!$K:$K,Journal!$B:$B,TRUE,Journal!$E:$E,A72),0)</f>
        <v/>
      </c>
      <c r="G72">
        <f>IFERROR(INT(F72/E72),0)</f>
        <v/>
      </c>
      <c r="H72">
        <f>IFERROR(MOD(F72,E72),0)</f>
        <v/>
      </c>
      <c r="I72">
        <f>IFERROR(SUMIFS(Journal!$N:$N,Journal!$B:$B,TRUE,Journal!$D:$D,"ACHAT",Journal!$E:$E,A72)/SUMIFS(Journal!$K:$K,Journal!$B:$B,TRUE,Journal!$D:$D,"ACHAT",Journal!$E:$E,A72),"")</f>
        <v/>
      </c>
    </row>
    <row r="73">
      <c r="F73">
        <f>IFERROR(SUMIFS(Journal!$K:$K,Journal!$B:$B,TRUE,Journal!$E:$E,A73),0)</f>
        <v/>
      </c>
      <c r="G73">
        <f>IFERROR(INT(F73/E73),0)</f>
        <v/>
      </c>
      <c r="H73">
        <f>IFERROR(MOD(F73,E73),0)</f>
        <v/>
      </c>
      <c r="I73">
        <f>IFERROR(SUMIFS(Journal!$N:$N,Journal!$B:$B,TRUE,Journal!$D:$D,"ACHAT",Journal!$E:$E,A73)/SUMIFS(Journal!$K:$K,Journal!$B:$B,TRUE,Journal!$D:$D,"ACHAT",Journal!$E:$E,A73),"")</f>
        <v/>
      </c>
    </row>
    <row r="74">
      <c r="F74">
        <f>IFERROR(SUMIFS(Journal!$K:$K,Journal!$B:$B,TRUE,Journal!$E:$E,A74),0)</f>
        <v/>
      </c>
      <c r="G74">
        <f>IFERROR(INT(F74/E74),0)</f>
        <v/>
      </c>
      <c r="H74">
        <f>IFERROR(MOD(F74,E74),0)</f>
        <v/>
      </c>
      <c r="I74">
        <f>IFERROR(SUMIFS(Journal!$N:$N,Journal!$B:$B,TRUE,Journal!$D:$D,"ACHAT",Journal!$E:$E,A74)/SUMIFS(Journal!$K:$K,Journal!$B:$B,TRUE,Journal!$D:$D,"ACHAT",Journal!$E:$E,A74),"")</f>
        <v/>
      </c>
    </row>
    <row r="75">
      <c r="F75">
        <f>IFERROR(SUMIFS(Journal!$K:$K,Journal!$B:$B,TRUE,Journal!$E:$E,A75),0)</f>
        <v/>
      </c>
      <c r="G75">
        <f>IFERROR(INT(F75/E75),0)</f>
        <v/>
      </c>
      <c r="H75">
        <f>IFERROR(MOD(F75,E75),0)</f>
        <v/>
      </c>
      <c r="I75">
        <f>IFERROR(SUMIFS(Journal!$N:$N,Journal!$B:$B,TRUE,Journal!$D:$D,"ACHAT",Journal!$E:$E,A75)/SUMIFS(Journal!$K:$K,Journal!$B:$B,TRUE,Journal!$D:$D,"ACHAT",Journal!$E:$E,A75),"")</f>
        <v/>
      </c>
    </row>
    <row r="76">
      <c r="F76">
        <f>IFERROR(SUMIFS(Journal!$K:$K,Journal!$B:$B,TRUE,Journal!$E:$E,A76),0)</f>
        <v/>
      </c>
      <c r="G76">
        <f>IFERROR(INT(F76/E76),0)</f>
        <v/>
      </c>
      <c r="H76">
        <f>IFERROR(MOD(F76,E76),0)</f>
        <v/>
      </c>
      <c r="I76">
        <f>IFERROR(SUMIFS(Journal!$N:$N,Journal!$B:$B,TRUE,Journal!$D:$D,"ACHAT",Journal!$E:$E,A76)/SUMIFS(Journal!$K:$K,Journal!$B:$B,TRUE,Journal!$D:$D,"ACHAT",Journal!$E:$E,A76),"")</f>
        <v/>
      </c>
    </row>
    <row r="77">
      <c r="F77">
        <f>IFERROR(SUMIFS(Journal!$K:$K,Journal!$B:$B,TRUE,Journal!$E:$E,A77),0)</f>
        <v/>
      </c>
      <c r="G77">
        <f>IFERROR(INT(F77/E77),0)</f>
        <v/>
      </c>
      <c r="H77">
        <f>IFERROR(MOD(F77,E77),0)</f>
        <v/>
      </c>
      <c r="I77">
        <f>IFERROR(SUMIFS(Journal!$N:$N,Journal!$B:$B,TRUE,Journal!$D:$D,"ACHAT",Journal!$E:$E,A77)/SUMIFS(Journal!$K:$K,Journal!$B:$B,TRUE,Journal!$D:$D,"ACHAT",Journal!$E:$E,A77),"")</f>
        <v/>
      </c>
    </row>
    <row r="78">
      <c r="F78">
        <f>IFERROR(SUMIFS(Journal!$K:$K,Journal!$B:$B,TRUE,Journal!$E:$E,A78),0)</f>
        <v/>
      </c>
      <c r="G78">
        <f>IFERROR(INT(F78/E78),0)</f>
        <v/>
      </c>
      <c r="H78">
        <f>IFERROR(MOD(F78,E78),0)</f>
        <v/>
      </c>
      <c r="I78">
        <f>IFERROR(SUMIFS(Journal!$N:$N,Journal!$B:$B,TRUE,Journal!$D:$D,"ACHAT",Journal!$E:$E,A78)/SUMIFS(Journal!$K:$K,Journal!$B:$B,TRUE,Journal!$D:$D,"ACHAT",Journal!$E:$E,A78),"")</f>
        <v/>
      </c>
    </row>
    <row r="79">
      <c r="F79">
        <f>IFERROR(SUMIFS(Journal!$K:$K,Journal!$B:$B,TRUE,Journal!$E:$E,A79),0)</f>
        <v/>
      </c>
      <c r="G79">
        <f>IFERROR(INT(F79/E79),0)</f>
        <v/>
      </c>
      <c r="H79">
        <f>IFERROR(MOD(F79,E79),0)</f>
        <v/>
      </c>
      <c r="I79">
        <f>IFERROR(SUMIFS(Journal!$N:$N,Journal!$B:$B,TRUE,Journal!$D:$D,"ACHAT",Journal!$E:$E,A79)/SUMIFS(Journal!$K:$K,Journal!$B:$B,TRUE,Journal!$D:$D,"ACHAT",Journal!$E:$E,A79),"")</f>
        <v/>
      </c>
    </row>
    <row r="80">
      <c r="F80">
        <f>IFERROR(SUMIFS(Journal!$K:$K,Journal!$B:$B,TRUE,Journal!$E:$E,A80),0)</f>
        <v/>
      </c>
      <c r="G80">
        <f>IFERROR(INT(F80/E80),0)</f>
        <v/>
      </c>
      <c r="H80">
        <f>IFERROR(MOD(F80,E80),0)</f>
        <v/>
      </c>
      <c r="I80">
        <f>IFERROR(SUMIFS(Journal!$N:$N,Journal!$B:$B,TRUE,Journal!$D:$D,"ACHAT",Journal!$E:$E,A80)/SUMIFS(Journal!$K:$K,Journal!$B:$B,TRUE,Journal!$D:$D,"ACHAT",Journal!$E:$E,A80),"")</f>
        <v/>
      </c>
    </row>
    <row r="81">
      <c r="F81">
        <f>IFERROR(SUMIFS(Journal!$K:$K,Journal!$B:$B,TRUE,Journal!$E:$E,A81),0)</f>
        <v/>
      </c>
      <c r="G81">
        <f>IFERROR(INT(F81/E81),0)</f>
        <v/>
      </c>
      <c r="H81">
        <f>IFERROR(MOD(F81,E81),0)</f>
        <v/>
      </c>
      <c r="I81">
        <f>IFERROR(SUMIFS(Journal!$N:$N,Journal!$B:$B,TRUE,Journal!$D:$D,"ACHAT",Journal!$E:$E,A81)/SUMIFS(Journal!$K:$K,Journal!$B:$B,TRUE,Journal!$D:$D,"ACHAT",Journal!$E:$E,A81),"")</f>
        <v/>
      </c>
    </row>
    <row r="82">
      <c r="F82">
        <f>IFERROR(SUMIFS(Journal!$K:$K,Journal!$B:$B,TRUE,Journal!$E:$E,A82),0)</f>
        <v/>
      </c>
      <c r="G82">
        <f>IFERROR(INT(F82/E82),0)</f>
        <v/>
      </c>
      <c r="H82">
        <f>IFERROR(MOD(F82,E82),0)</f>
        <v/>
      </c>
      <c r="I82">
        <f>IFERROR(SUMIFS(Journal!$N:$N,Journal!$B:$B,TRUE,Journal!$D:$D,"ACHAT",Journal!$E:$E,A82)/SUMIFS(Journal!$K:$K,Journal!$B:$B,TRUE,Journal!$D:$D,"ACHAT",Journal!$E:$E,A82),"")</f>
        <v/>
      </c>
    </row>
    <row r="83">
      <c r="F83">
        <f>IFERROR(SUMIFS(Journal!$K:$K,Journal!$B:$B,TRUE,Journal!$E:$E,A83),0)</f>
        <v/>
      </c>
      <c r="G83">
        <f>IFERROR(INT(F83/E83),0)</f>
        <v/>
      </c>
      <c r="H83">
        <f>IFERROR(MOD(F83,E83),0)</f>
        <v/>
      </c>
      <c r="I83">
        <f>IFERROR(SUMIFS(Journal!$N:$N,Journal!$B:$B,TRUE,Journal!$D:$D,"ACHAT",Journal!$E:$E,A83)/SUMIFS(Journal!$K:$K,Journal!$B:$B,TRUE,Journal!$D:$D,"ACHAT",Journal!$E:$E,A83),"")</f>
        <v/>
      </c>
    </row>
    <row r="84">
      <c r="F84">
        <f>IFERROR(SUMIFS(Journal!$K:$K,Journal!$B:$B,TRUE,Journal!$E:$E,A84),0)</f>
        <v/>
      </c>
      <c r="G84">
        <f>IFERROR(INT(F84/E84),0)</f>
        <v/>
      </c>
      <c r="H84">
        <f>IFERROR(MOD(F84,E84),0)</f>
        <v/>
      </c>
      <c r="I84">
        <f>IFERROR(SUMIFS(Journal!$N:$N,Journal!$B:$B,TRUE,Journal!$D:$D,"ACHAT",Journal!$E:$E,A84)/SUMIFS(Journal!$K:$K,Journal!$B:$B,TRUE,Journal!$D:$D,"ACHAT",Journal!$E:$E,A84),"")</f>
        <v/>
      </c>
    </row>
    <row r="85">
      <c r="F85">
        <f>IFERROR(SUMIFS(Journal!$K:$K,Journal!$B:$B,TRUE,Journal!$E:$E,A85),0)</f>
        <v/>
      </c>
      <c r="G85">
        <f>IFERROR(INT(F85/E85),0)</f>
        <v/>
      </c>
      <c r="H85">
        <f>IFERROR(MOD(F85,E85),0)</f>
        <v/>
      </c>
      <c r="I85">
        <f>IFERROR(SUMIFS(Journal!$N:$N,Journal!$B:$B,TRUE,Journal!$D:$D,"ACHAT",Journal!$E:$E,A85)/SUMIFS(Journal!$K:$K,Journal!$B:$B,TRUE,Journal!$D:$D,"ACHAT",Journal!$E:$E,A85),"")</f>
        <v/>
      </c>
    </row>
    <row r="86">
      <c r="F86">
        <f>IFERROR(SUMIFS(Journal!$K:$K,Journal!$B:$B,TRUE,Journal!$E:$E,A86),0)</f>
        <v/>
      </c>
      <c r="G86">
        <f>IFERROR(INT(F86/E86),0)</f>
        <v/>
      </c>
      <c r="H86">
        <f>IFERROR(MOD(F86,E86),0)</f>
        <v/>
      </c>
      <c r="I86">
        <f>IFERROR(SUMIFS(Journal!$N:$N,Journal!$B:$B,TRUE,Journal!$D:$D,"ACHAT",Journal!$E:$E,A86)/SUMIFS(Journal!$K:$K,Journal!$B:$B,TRUE,Journal!$D:$D,"ACHAT",Journal!$E:$E,A86),"")</f>
        <v/>
      </c>
    </row>
    <row r="87">
      <c r="F87">
        <f>IFERROR(SUMIFS(Journal!$K:$K,Journal!$B:$B,TRUE,Journal!$E:$E,A87),0)</f>
        <v/>
      </c>
      <c r="G87">
        <f>IFERROR(INT(F87/E87),0)</f>
        <v/>
      </c>
      <c r="H87">
        <f>IFERROR(MOD(F87,E87),0)</f>
        <v/>
      </c>
      <c r="I87">
        <f>IFERROR(SUMIFS(Journal!$N:$N,Journal!$B:$B,TRUE,Journal!$D:$D,"ACHAT",Journal!$E:$E,A87)/SUMIFS(Journal!$K:$K,Journal!$B:$B,TRUE,Journal!$D:$D,"ACHAT",Journal!$E:$E,A87),"")</f>
        <v/>
      </c>
    </row>
    <row r="88">
      <c r="F88">
        <f>IFERROR(SUMIFS(Journal!$K:$K,Journal!$B:$B,TRUE,Journal!$E:$E,A88),0)</f>
        <v/>
      </c>
      <c r="G88">
        <f>IFERROR(INT(F88/E88),0)</f>
        <v/>
      </c>
      <c r="H88">
        <f>IFERROR(MOD(F88,E88),0)</f>
        <v/>
      </c>
      <c r="I88">
        <f>IFERROR(SUMIFS(Journal!$N:$N,Journal!$B:$B,TRUE,Journal!$D:$D,"ACHAT",Journal!$E:$E,A88)/SUMIFS(Journal!$K:$K,Journal!$B:$B,TRUE,Journal!$D:$D,"ACHAT",Journal!$E:$E,A88),"")</f>
        <v/>
      </c>
    </row>
    <row r="89">
      <c r="F89">
        <f>IFERROR(SUMIFS(Journal!$K:$K,Journal!$B:$B,TRUE,Journal!$E:$E,A89),0)</f>
        <v/>
      </c>
      <c r="G89">
        <f>IFERROR(INT(F89/E89),0)</f>
        <v/>
      </c>
      <c r="H89">
        <f>IFERROR(MOD(F89,E89),0)</f>
        <v/>
      </c>
      <c r="I89">
        <f>IFERROR(SUMIFS(Journal!$N:$N,Journal!$B:$B,TRUE,Journal!$D:$D,"ACHAT",Journal!$E:$E,A89)/SUMIFS(Journal!$K:$K,Journal!$B:$B,TRUE,Journal!$D:$D,"ACHAT",Journal!$E:$E,A89),"")</f>
        <v/>
      </c>
    </row>
    <row r="90">
      <c r="F90">
        <f>IFERROR(SUMIFS(Journal!$K:$K,Journal!$B:$B,TRUE,Journal!$E:$E,A90),0)</f>
        <v/>
      </c>
      <c r="G90">
        <f>IFERROR(INT(F90/E90),0)</f>
        <v/>
      </c>
      <c r="H90">
        <f>IFERROR(MOD(F90,E90),0)</f>
        <v/>
      </c>
      <c r="I90">
        <f>IFERROR(SUMIFS(Journal!$N:$N,Journal!$B:$B,TRUE,Journal!$D:$D,"ACHAT",Journal!$E:$E,A90)/SUMIFS(Journal!$K:$K,Journal!$B:$B,TRUE,Journal!$D:$D,"ACHAT",Journal!$E:$E,A90),"")</f>
        <v/>
      </c>
    </row>
    <row r="91">
      <c r="F91">
        <f>IFERROR(SUMIFS(Journal!$K:$K,Journal!$B:$B,TRUE,Journal!$E:$E,A91),0)</f>
        <v/>
      </c>
      <c r="G91">
        <f>IFERROR(INT(F91/E91),0)</f>
        <v/>
      </c>
      <c r="H91">
        <f>IFERROR(MOD(F91,E91),0)</f>
        <v/>
      </c>
      <c r="I91">
        <f>IFERROR(SUMIFS(Journal!$N:$N,Journal!$B:$B,TRUE,Journal!$D:$D,"ACHAT",Journal!$E:$E,A91)/SUMIFS(Journal!$K:$K,Journal!$B:$B,TRUE,Journal!$D:$D,"ACHAT",Journal!$E:$E,A91),"")</f>
        <v/>
      </c>
    </row>
    <row r="92">
      <c r="F92">
        <f>IFERROR(SUMIFS(Journal!$K:$K,Journal!$B:$B,TRUE,Journal!$E:$E,A92),0)</f>
        <v/>
      </c>
      <c r="G92">
        <f>IFERROR(INT(F92/E92),0)</f>
        <v/>
      </c>
      <c r="H92">
        <f>IFERROR(MOD(F92,E92),0)</f>
        <v/>
      </c>
      <c r="I92">
        <f>IFERROR(SUMIFS(Journal!$N:$N,Journal!$B:$B,TRUE,Journal!$D:$D,"ACHAT",Journal!$E:$E,A92)/SUMIFS(Journal!$K:$K,Journal!$B:$B,TRUE,Journal!$D:$D,"ACHAT",Journal!$E:$E,A92),"")</f>
        <v/>
      </c>
    </row>
    <row r="93">
      <c r="F93">
        <f>IFERROR(SUMIFS(Journal!$K:$K,Journal!$B:$B,TRUE,Journal!$E:$E,A93),0)</f>
        <v/>
      </c>
      <c r="G93">
        <f>IFERROR(INT(F93/E93),0)</f>
        <v/>
      </c>
      <c r="H93">
        <f>IFERROR(MOD(F93,E93),0)</f>
        <v/>
      </c>
      <c r="I93">
        <f>IFERROR(SUMIFS(Journal!$N:$N,Journal!$B:$B,TRUE,Journal!$D:$D,"ACHAT",Journal!$E:$E,A93)/SUMIFS(Journal!$K:$K,Journal!$B:$B,TRUE,Journal!$D:$D,"ACHAT",Journal!$E:$E,A93),"")</f>
        <v/>
      </c>
    </row>
    <row r="94">
      <c r="F94">
        <f>IFERROR(SUMIFS(Journal!$K:$K,Journal!$B:$B,TRUE,Journal!$E:$E,A94),0)</f>
        <v/>
      </c>
      <c r="G94">
        <f>IFERROR(INT(F94/E94),0)</f>
        <v/>
      </c>
      <c r="H94">
        <f>IFERROR(MOD(F94,E94),0)</f>
        <v/>
      </c>
      <c r="I94">
        <f>IFERROR(SUMIFS(Journal!$N:$N,Journal!$B:$B,TRUE,Journal!$D:$D,"ACHAT",Journal!$E:$E,A94)/SUMIFS(Journal!$K:$K,Journal!$B:$B,TRUE,Journal!$D:$D,"ACHAT",Journal!$E:$E,A94),"")</f>
        <v/>
      </c>
    </row>
    <row r="95">
      <c r="F95">
        <f>IFERROR(SUMIFS(Journal!$K:$K,Journal!$B:$B,TRUE,Journal!$E:$E,A95),0)</f>
        <v/>
      </c>
      <c r="G95">
        <f>IFERROR(INT(F95/E95),0)</f>
        <v/>
      </c>
      <c r="H95">
        <f>IFERROR(MOD(F95,E95),0)</f>
        <v/>
      </c>
      <c r="I95">
        <f>IFERROR(SUMIFS(Journal!$N:$N,Journal!$B:$B,TRUE,Journal!$D:$D,"ACHAT",Journal!$E:$E,A95)/SUMIFS(Journal!$K:$K,Journal!$B:$B,TRUE,Journal!$D:$D,"ACHAT",Journal!$E:$E,A95),"")</f>
        <v/>
      </c>
    </row>
    <row r="96">
      <c r="F96">
        <f>IFERROR(SUMIFS(Journal!$K:$K,Journal!$B:$B,TRUE,Journal!$E:$E,A96),0)</f>
        <v/>
      </c>
      <c r="G96">
        <f>IFERROR(INT(F96/E96),0)</f>
        <v/>
      </c>
      <c r="H96">
        <f>IFERROR(MOD(F96,E96),0)</f>
        <v/>
      </c>
      <c r="I96">
        <f>IFERROR(SUMIFS(Journal!$N:$N,Journal!$B:$B,TRUE,Journal!$D:$D,"ACHAT",Journal!$E:$E,A96)/SUMIFS(Journal!$K:$K,Journal!$B:$B,TRUE,Journal!$D:$D,"ACHAT",Journal!$E:$E,A96),"")</f>
        <v/>
      </c>
    </row>
    <row r="97">
      <c r="F97">
        <f>IFERROR(SUMIFS(Journal!$K:$K,Journal!$B:$B,TRUE,Journal!$E:$E,A97),0)</f>
        <v/>
      </c>
      <c r="G97">
        <f>IFERROR(INT(F97/E97),0)</f>
        <v/>
      </c>
      <c r="H97">
        <f>IFERROR(MOD(F97,E97),0)</f>
        <v/>
      </c>
      <c r="I97">
        <f>IFERROR(SUMIFS(Journal!$N:$N,Journal!$B:$B,TRUE,Journal!$D:$D,"ACHAT",Journal!$E:$E,A97)/SUMIFS(Journal!$K:$K,Journal!$B:$B,TRUE,Journal!$D:$D,"ACHAT",Journal!$E:$E,A97),"")</f>
        <v/>
      </c>
    </row>
    <row r="98">
      <c r="F98">
        <f>IFERROR(SUMIFS(Journal!$K:$K,Journal!$B:$B,TRUE,Journal!$E:$E,A98),0)</f>
        <v/>
      </c>
      <c r="G98">
        <f>IFERROR(INT(F98/E98),0)</f>
        <v/>
      </c>
      <c r="H98">
        <f>IFERROR(MOD(F98,E98),0)</f>
        <v/>
      </c>
      <c r="I98">
        <f>IFERROR(SUMIFS(Journal!$N:$N,Journal!$B:$B,TRUE,Journal!$D:$D,"ACHAT",Journal!$E:$E,A98)/SUMIFS(Journal!$K:$K,Journal!$B:$B,TRUE,Journal!$D:$D,"ACHAT",Journal!$E:$E,A98),"")</f>
        <v/>
      </c>
    </row>
    <row r="99">
      <c r="F99">
        <f>IFERROR(SUMIFS(Journal!$K:$K,Journal!$B:$B,TRUE,Journal!$E:$E,A99),0)</f>
        <v/>
      </c>
      <c r="G99">
        <f>IFERROR(INT(F99/E99),0)</f>
        <v/>
      </c>
      <c r="H99">
        <f>IFERROR(MOD(F99,E99),0)</f>
        <v/>
      </c>
      <c r="I99">
        <f>IFERROR(SUMIFS(Journal!$N:$N,Journal!$B:$B,TRUE,Journal!$D:$D,"ACHAT",Journal!$E:$E,A99)/SUMIFS(Journal!$K:$K,Journal!$B:$B,TRUE,Journal!$D:$D,"ACHAT",Journal!$E:$E,A99),"")</f>
        <v/>
      </c>
    </row>
    <row r="100">
      <c r="F100">
        <f>IFERROR(SUMIFS(Journal!$K:$K,Journal!$B:$B,TRUE,Journal!$E:$E,A100),0)</f>
        <v/>
      </c>
      <c r="G100">
        <f>IFERROR(INT(F100/E100),0)</f>
        <v/>
      </c>
      <c r="H100">
        <f>IFERROR(MOD(F100,E100),0)</f>
        <v/>
      </c>
      <c r="I100">
        <f>IFERROR(SUMIFS(Journal!$N:$N,Journal!$B:$B,TRUE,Journal!$D:$D,"ACHAT",Journal!$E:$E,A100)/SUMIFS(Journal!$K:$K,Journal!$B:$B,TRUE,Journal!$D:$D,"ACHAT",Journal!$E:$E,A100),"")</f>
        <v/>
      </c>
    </row>
    <row r="101">
      <c r="F101">
        <f>IFERROR(SUMIFS(Journal!$K:$K,Journal!$B:$B,TRUE,Journal!$E:$E,A101),0)</f>
        <v/>
      </c>
      <c r="G101">
        <f>IFERROR(INT(F101/E101),0)</f>
        <v/>
      </c>
      <c r="H101">
        <f>IFERROR(MOD(F101,E101),0)</f>
        <v/>
      </c>
      <c r="I101">
        <f>IFERROR(SUMIFS(Journal!$N:$N,Journal!$B:$B,TRUE,Journal!$D:$D,"ACHAT",Journal!$E:$E,A101)/SUMIFS(Journal!$K:$K,Journal!$B:$B,TRUE,Journal!$D:$D,"ACHAT",Journal!$E:$E,A101),"")</f>
        <v/>
      </c>
    </row>
    <row r="102">
      <c r="F102">
        <f>IFERROR(SUMIFS(Journal!$K:$K,Journal!$B:$B,TRUE,Journal!$E:$E,A102),0)</f>
        <v/>
      </c>
      <c r="G102">
        <f>IFERROR(INT(F102/E102),0)</f>
        <v/>
      </c>
      <c r="H102">
        <f>IFERROR(MOD(F102,E102),0)</f>
        <v/>
      </c>
      <c r="I102">
        <f>IFERROR(SUMIFS(Journal!$N:$N,Journal!$B:$B,TRUE,Journal!$D:$D,"ACHAT",Journal!$E:$E,A102)/SUMIFS(Journal!$K:$K,Journal!$B:$B,TRUE,Journal!$D:$D,"ACHAT",Journal!$E:$E,A102),"")</f>
        <v/>
      </c>
    </row>
    <row r="103">
      <c r="F103">
        <f>IFERROR(SUMIFS(Journal!$K:$K,Journal!$B:$B,TRUE,Journal!$E:$E,A103),0)</f>
        <v/>
      </c>
      <c r="G103">
        <f>IFERROR(INT(F103/E103),0)</f>
        <v/>
      </c>
      <c r="H103">
        <f>IFERROR(MOD(F103,E103),0)</f>
        <v/>
      </c>
      <c r="I103">
        <f>IFERROR(SUMIFS(Journal!$N:$N,Journal!$B:$B,TRUE,Journal!$D:$D,"ACHAT",Journal!$E:$E,A103)/SUMIFS(Journal!$K:$K,Journal!$B:$B,TRUE,Journal!$D:$D,"ACHAT",Journal!$E:$E,A103),"")</f>
        <v/>
      </c>
    </row>
    <row r="104">
      <c r="F104">
        <f>IFERROR(SUMIFS(Journal!$K:$K,Journal!$B:$B,TRUE,Journal!$E:$E,A104),0)</f>
        <v/>
      </c>
      <c r="G104">
        <f>IFERROR(INT(F104/E104),0)</f>
        <v/>
      </c>
      <c r="H104">
        <f>IFERROR(MOD(F104,E104),0)</f>
        <v/>
      </c>
      <c r="I104">
        <f>IFERROR(SUMIFS(Journal!$N:$N,Journal!$B:$B,TRUE,Journal!$D:$D,"ACHAT",Journal!$E:$E,A104)/SUMIFS(Journal!$K:$K,Journal!$B:$B,TRUE,Journal!$D:$D,"ACHAT",Journal!$E:$E,A104),"")</f>
        <v/>
      </c>
    </row>
    <row r="105">
      <c r="F105">
        <f>IFERROR(SUMIFS(Journal!$K:$K,Journal!$B:$B,TRUE,Journal!$E:$E,A105),0)</f>
        <v/>
      </c>
      <c r="G105">
        <f>IFERROR(INT(F105/E105),0)</f>
        <v/>
      </c>
      <c r="H105">
        <f>IFERROR(MOD(F105,E105),0)</f>
        <v/>
      </c>
      <c r="I105">
        <f>IFERROR(SUMIFS(Journal!$N:$N,Journal!$B:$B,TRUE,Journal!$D:$D,"ACHAT",Journal!$E:$E,A105)/SUMIFS(Journal!$K:$K,Journal!$B:$B,TRUE,Journal!$D:$D,"ACHAT",Journal!$E:$E,A105),"")</f>
        <v/>
      </c>
    </row>
    <row r="106">
      <c r="F106">
        <f>IFERROR(SUMIFS(Journal!$K:$K,Journal!$B:$B,TRUE,Journal!$E:$E,A106),0)</f>
        <v/>
      </c>
      <c r="G106">
        <f>IFERROR(INT(F106/E106),0)</f>
        <v/>
      </c>
      <c r="H106">
        <f>IFERROR(MOD(F106,E106),0)</f>
        <v/>
      </c>
      <c r="I106">
        <f>IFERROR(SUMIFS(Journal!$N:$N,Journal!$B:$B,TRUE,Journal!$D:$D,"ACHAT",Journal!$E:$E,A106)/SUMIFS(Journal!$K:$K,Journal!$B:$B,TRUE,Journal!$D:$D,"ACHAT",Journal!$E:$E,A106),"")</f>
        <v/>
      </c>
    </row>
    <row r="107">
      <c r="F107">
        <f>IFERROR(SUMIFS(Journal!$K:$K,Journal!$B:$B,TRUE,Journal!$E:$E,A107),0)</f>
        <v/>
      </c>
      <c r="G107">
        <f>IFERROR(INT(F107/E107),0)</f>
        <v/>
      </c>
      <c r="H107">
        <f>IFERROR(MOD(F107,E107),0)</f>
        <v/>
      </c>
      <c r="I107">
        <f>IFERROR(SUMIFS(Journal!$N:$N,Journal!$B:$B,TRUE,Journal!$D:$D,"ACHAT",Journal!$E:$E,A107)/SUMIFS(Journal!$K:$K,Journal!$B:$B,TRUE,Journal!$D:$D,"ACHAT",Journal!$E:$E,A107),"")</f>
        <v/>
      </c>
    </row>
    <row r="108">
      <c r="F108">
        <f>IFERROR(SUMIFS(Journal!$K:$K,Journal!$B:$B,TRUE,Journal!$E:$E,A108),0)</f>
        <v/>
      </c>
      <c r="G108">
        <f>IFERROR(INT(F108/E108),0)</f>
        <v/>
      </c>
      <c r="H108">
        <f>IFERROR(MOD(F108,E108),0)</f>
        <v/>
      </c>
      <c r="I108">
        <f>IFERROR(SUMIFS(Journal!$N:$N,Journal!$B:$B,TRUE,Journal!$D:$D,"ACHAT",Journal!$E:$E,A108)/SUMIFS(Journal!$K:$K,Journal!$B:$B,TRUE,Journal!$D:$D,"ACHAT",Journal!$E:$E,A108),"")</f>
        <v/>
      </c>
    </row>
    <row r="109">
      <c r="F109">
        <f>IFERROR(SUMIFS(Journal!$K:$K,Journal!$B:$B,TRUE,Journal!$E:$E,A109),0)</f>
        <v/>
      </c>
      <c r="G109">
        <f>IFERROR(INT(F109/E109),0)</f>
        <v/>
      </c>
      <c r="H109">
        <f>IFERROR(MOD(F109,E109),0)</f>
        <v/>
      </c>
      <c r="I109">
        <f>IFERROR(SUMIFS(Journal!$N:$N,Journal!$B:$B,TRUE,Journal!$D:$D,"ACHAT",Journal!$E:$E,A109)/SUMIFS(Journal!$K:$K,Journal!$B:$B,TRUE,Journal!$D:$D,"ACHAT",Journal!$E:$E,A109),"")</f>
        <v/>
      </c>
    </row>
    <row r="110">
      <c r="F110">
        <f>IFERROR(SUMIFS(Journal!$K:$K,Journal!$B:$B,TRUE,Journal!$E:$E,A110),0)</f>
        <v/>
      </c>
      <c r="G110">
        <f>IFERROR(INT(F110/E110),0)</f>
        <v/>
      </c>
      <c r="H110">
        <f>IFERROR(MOD(F110,E110),0)</f>
        <v/>
      </c>
      <c r="I110">
        <f>IFERROR(SUMIFS(Journal!$N:$N,Journal!$B:$B,TRUE,Journal!$D:$D,"ACHAT",Journal!$E:$E,A110)/SUMIFS(Journal!$K:$K,Journal!$B:$B,TRUE,Journal!$D:$D,"ACHAT",Journal!$E:$E,A110),"")</f>
        <v/>
      </c>
    </row>
    <row r="111">
      <c r="F111">
        <f>IFERROR(SUMIFS(Journal!$K:$K,Journal!$B:$B,TRUE,Journal!$E:$E,A111),0)</f>
        <v/>
      </c>
      <c r="G111">
        <f>IFERROR(INT(F111/E111),0)</f>
        <v/>
      </c>
      <c r="H111">
        <f>IFERROR(MOD(F111,E111),0)</f>
        <v/>
      </c>
      <c r="I111">
        <f>IFERROR(SUMIFS(Journal!$N:$N,Journal!$B:$B,TRUE,Journal!$D:$D,"ACHAT",Journal!$E:$E,A111)/SUMIFS(Journal!$K:$K,Journal!$B:$B,TRUE,Journal!$D:$D,"ACHAT",Journal!$E:$E,A111),"")</f>
        <v/>
      </c>
    </row>
    <row r="112">
      <c r="F112">
        <f>IFERROR(SUMIFS(Journal!$K:$K,Journal!$B:$B,TRUE,Journal!$E:$E,A112),0)</f>
        <v/>
      </c>
      <c r="G112">
        <f>IFERROR(INT(F112/E112),0)</f>
        <v/>
      </c>
      <c r="H112">
        <f>IFERROR(MOD(F112,E112),0)</f>
        <v/>
      </c>
      <c r="I112">
        <f>IFERROR(SUMIFS(Journal!$N:$N,Journal!$B:$B,TRUE,Journal!$D:$D,"ACHAT",Journal!$E:$E,A112)/SUMIFS(Journal!$K:$K,Journal!$B:$B,TRUE,Journal!$D:$D,"ACHAT",Journal!$E:$E,A112),"")</f>
        <v/>
      </c>
    </row>
    <row r="113">
      <c r="F113">
        <f>IFERROR(SUMIFS(Journal!$K:$K,Journal!$B:$B,TRUE,Journal!$E:$E,A113),0)</f>
        <v/>
      </c>
      <c r="G113">
        <f>IFERROR(INT(F113/E113),0)</f>
        <v/>
      </c>
      <c r="H113">
        <f>IFERROR(MOD(F113,E113),0)</f>
        <v/>
      </c>
      <c r="I113">
        <f>IFERROR(SUMIFS(Journal!$N:$N,Journal!$B:$B,TRUE,Journal!$D:$D,"ACHAT",Journal!$E:$E,A113)/SUMIFS(Journal!$K:$K,Journal!$B:$B,TRUE,Journal!$D:$D,"ACHAT",Journal!$E:$E,A113),"")</f>
        <v/>
      </c>
    </row>
    <row r="114">
      <c r="F114">
        <f>IFERROR(SUMIFS(Journal!$K:$K,Journal!$B:$B,TRUE,Journal!$E:$E,A114),0)</f>
        <v/>
      </c>
      <c r="G114">
        <f>IFERROR(INT(F114/E114),0)</f>
        <v/>
      </c>
      <c r="H114">
        <f>IFERROR(MOD(F114,E114),0)</f>
        <v/>
      </c>
      <c r="I114">
        <f>IFERROR(SUMIFS(Journal!$N:$N,Journal!$B:$B,TRUE,Journal!$D:$D,"ACHAT",Journal!$E:$E,A114)/SUMIFS(Journal!$K:$K,Journal!$B:$B,TRUE,Journal!$D:$D,"ACHAT",Journal!$E:$E,A114),"")</f>
        <v/>
      </c>
    </row>
    <row r="115">
      <c r="F115">
        <f>IFERROR(SUMIFS(Journal!$K:$K,Journal!$B:$B,TRUE,Journal!$E:$E,A115),0)</f>
        <v/>
      </c>
      <c r="G115">
        <f>IFERROR(INT(F115/E115),0)</f>
        <v/>
      </c>
      <c r="H115">
        <f>IFERROR(MOD(F115,E115),0)</f>
        <v/>
      </c>
      <c r="I115">
        <f>IFERROR(SUMIFS(Journal!$N:$N,Journal!$B:$B,TRUE,Journal!$D:$D,"ACHAT",Journal!$E:$E,A115)/SUMIFS(Journal!$K:$K,Journal!$B:$B,TRUE,Journal!$D:$D,"ACHAT",Journal!$E:$E,A115),"")</f>
        <v/>
      </c>
    </row>
    <row r="116">
      <c r="F116">
        <f>IFERROR(SUMIFS(Journal!$K:$K,Journal!$B:$B,TRUE,Journal!$E:$E,A116),0)</f>
        <v/>
      </c>
      <c r="G116">
        <f>IFERROR(INT(F116/E116),0)</f>
        <v/>
      </c>
      <c r="H116">
        <f>IFERROR(MOD(F116,E116),0)</f>
        <v/>
      </c>
      <c r="I116">
        <f>IFERROR(SUMIFS(Journal!$N:$N,Journal!$B:$B,TRUE,Journal!$D:$D,"ACHAT",Journal!$E:$E,A116)/SUMIFS(Journal!$K:$K,Journal!$B:$B,TRUE,Journal!$D:$D,"ACHAT",Journal!$E:$E,A116),"")</f>
        <v/>
      </c>
    </row>
    <row r="117">
      <c r="F117">
        <f>IFERROR(SUMIFS(Journal!$K:$K,Journal!$B:$B,TRUE,Journal!$E:$E,A117),0)</f>
        <v/>
      </c>
      <c r="G117">
        <f>IFERROR(INT(F117/E117),0)</f>
        <v/>
      </c>
      <c r="H117">
        <f>IFERROR(MOD(F117,E117),0)</f>
        <v/>
      </c>
      <c r="I117">
        <f>IFERROR(SUMIFS(Journal!$N:$N,Journal!$B:$B,TRUE,Journal!$D:$D,"ACHAT",Journal!$E:$E,A117)/SUMIFS(Journal!$K:$K,Journal!$B:$B,TRUE,Journal!$D:$D,"ACHAT",Journal!$E:$E,A117),"")</f>
        <v/>
      </c>
    </row>
    <row r="118">
      <c r="F118">
        <f>IFERROR(SUMIFS(Journal!$K:$K,Journal!$B:$B,TRUE,Journal!$E:$E,A118),0)</f>
        <v/>
      </c>
      <c r="G118">
        <f>IFERROR(INT(F118/E118),0)</f>
        <v/>
      </c>
      <c r="H118">
        <f>IFERROR(MOD(F118,E118),0)</f>
        <v/>
      </c>
      <c r="I118">
        <f>IFERROR(SUMIFS(Journal!$N:$N,Journal!$B:$B,TRUE,Journal!$D:$D,"ACHAT",Journal!$E:$E,A118)/SUMIFS(Journal!$K:$K,Journal!$B:$B,TRUE,Journal!$D:$D,"ACHAT",Journal!$E:$E,A118),"")</f>
        <v/>
      </c>
    </row>
    <row r="119">
      <c r="F119">
        <f>IFERROR(SUMIFS(Journal!$K:$K,Journal!$B:$B,TRUE,Journal!$E:$E,A119),0)</f>
        <v/>
      </c>
      <c r="G119">
        <f>IFERROR(INT(F119/E119),0)</f>
        <v/>
      </c>
      <c r="H119">
        <f>IFERROR(MOD(F119,E119),0)</f>
        <v/>
      </c>
      <c r="I119">
        <f>IFERROR(SUMIFS(Journal!$N:$N,Journal!$B:$B,TRUE,Journal!$D:$D,"ACHAT",Journal!$E:$E,A119)/SUMIFS(Journal!$K:$K,Journal!$B:$B,TRUE,Journal!$D:$D,"ACHAT",Journal!$E:$E,A119),"")</f>
        <v/>
      </c>
    </row>
    <row r="120">
      <c r="F120">
        <f>IFERROR(SUMIFS(Journal!$K:$K,Journal!$B:$B,TRUE,Journal!$E:$E,A120),0)</f>
        <v/>
      </c>
      <c r="G120">
        <f>IFERROR(INT(F120/E120),0)</f>
        <v/>
      </c>
      <c r="H120">
        <f>IFERROR(MOD(F120,E120),0)</f>
        <v/>
      </c>
      <c r="I120">
        <f>IFERROR(SUMIFS(Journal!$N:$N,Journal!$B:$B,TRUE,Journal!$D:$D,"ACHAT",Journal!$E:$E,A120)/SUMIFS(Journal!$K:$K,Journal!$B:$B,TRUE,Journal!$D:$D,"ACHAT",Journal!$E:$E,A120),"")</f>
        <v/>
      </c>
    </row>
    <row r="121">
      <c r="F121">
        <f>IFERROR(SUMIFS(Journal!$K:$K,Journal!$B:$B,TRUE,Journal!$E:$E,A121),0)</f>
        <v/>
      </c>
      <c r="G121">
        <f>IFERROR(INT(F121/E121),0)</f>
        <v/>
      </c>
      <c r="H121">
        <f>IFERROR(MOD(F121,E121),0)</f>
        <v/>
      </c>
      <c r="I121">
        <f>IFERROR(SUMIFS(Journal!$N:$N,Journal!$B:$B,TRUE,Journal!$D:$D,"ACHAT",Journal!$E:$E,A121)/SUMIFS(Journal!$K:$K,Journal!$B:$B,TRUE,Journal!$D:$D,"ACHAT",Journal!$E:$E,A121),"")</f>
        <v/>
      </c>
    </row>
    <row r="122">
      <c r="F122">
        <f>IFERROR(SUMIFS(Journal!$K:$K,Journal!$B:$B,TRUE,Journal!$E:$E,A122),0)</f>
        <v/>
      </c>
      <c r="G122">
        <f>IFERROR(INT(F122/E122),0)</f>
        <v/>
      </c>
      <c r="H122">
        <f>IFERROR(MOD(F122,E122),0)</f>
        <v/>
      </c>
      <c r="I122">
        <f>IFERROR(SUMIFS(Journal!$N:$N,Journal!$B:$B,TRUE,Journal!$D:$D,"ACHAT",Journal!$E:$E,A122)/SUMIFS(Journal!$K:$K,Journal!$B:$B,TRUE,Journal!$D:$D,"ACHAT",Journal!$E:$E,A122),"")</f>
        <v/>
      </c>
    </row>
    <row r="123">
      <c r="F123">
        <f>IFERROR(SUMIFS(Journal!$K:$K,Journal!$B:$B,TRUE,Journal!$E:$E,A123),0)</f>
        <v/>
      </c>
      <c r="G123">
        <f>IFERROR(INT(F123/E123),0)</f>
        <v/>
      </c>
      <c r="H123">
        <f>IFERROR(MOD(F123,E123),0)</f>
        <v/>
      </c>
      <c r="I123">
        <f>IFERROR(SUMIFS(Journal!$N:$N,Journal!$B:$B,TRUE,Journal!$D:$D,"ACHAT",Journal!$E:$E,A123)/SUMIFS(Journal!$K:$K,Journal!$B:$B,TRUE,Journal!$D:$D,"ACHAT",Journal!$E:$E,A123),"")</f>
        <v/>
      </c>
    </row>
    <row r="124">
      <c r="F124">
        <f>IFERROR(SUMIFS(Journal!$K:$K,Journal!$B:$B,TRUE,Journal!$E:$E,A124),0)</f>
        <v/>
      </c>
      <c r="G124">
        <f>IFERROR(INT(F124/E124),0)</f>
        <v/>
      </c>
      <c r="H124">
        <f>IFERROR(MOD(F124,E124),0)</f>
        <v/>
      </c>
      <c r="I124">
        <f>IFERROR(SUMIFS(Journal!$N:$N,Journal!$B:$B,TRUE,Journal!$D:$D,"ACHAT",Journal!$E:$E,A124)/SUMIFS(Journal!$K:$K,Journal!$B:$B,TRUE,Journal!$D:$D,"ACHAT",Journal!$E:$E,A124),"")</f>
        <v/>
      </c>
    </row>
    <row r="125">
      <c r="F125">
        <f>IFERROR(SUMIFS(Journal!$K:$K,Journal!$B:$B,TRUE,Journal!$E:$E,A125),0)</f>
        <v/>
      </c>
      <c r="G125">
        <f>IFERROR(INT(F125/E125),0)</f>
        <v/>
      </c>
      <c r="H125">
        <f>IFERROR(MOD(F125,E125),0)</f>
        <v/>
      </c>
      <c r="I125">
        <f>IFERROR(SUMIFS(Journal!$N:$N,Journal!$B:$B,TRUE,Journal!$D:$D,"ACHAT",Journal!$E:$E,A125)/SUMIFS(Journal!$K:$K,Journal!$B:$B,TRUE,Journal!$D:$D,"ACHAT",Journal!$E:$E,A125),"")</f>
        <v/>
      </c>
    </row>
    <row r="126">
      <c r="F126">
        <f>IFERROR(SUMIFS(Journal!$K:$K,Journal!$B:$B,TRUE,Journal!$E:$E,A126),0)</f>
        <v/>
      </c>
      <c r="G126">
        <f>IFERROR(INT(F126/E126),0)</f>
        <v/>
      </c>
      <c r="H126">
        <f>IFERROR(MOD(F126,E126),0)</f>
        <v/>
      </c>
      <c r="I126">
        <f>IFERROR(SUMIFS(Journal!$N:$N,Journal!$B:$B,TRUE,Journal!$D:$D,"ACHAT",Journal!$E:$E,A126)/SUMIFS(Journal!$K:$K,Journal!$B:$B,TRUE,Journal!$D:$D,"ACHAT",Journal!$E:$E,A126),"")</f>
        <v/>
      </c>
    </row>
    <row r="127">
      <c r="F127">
        <f>IFERROR(SUMIFS(Journal!$K:$K,Journal!$B:$B,TRUE,Journal!$E:$E,A127),0)</f>
        <v/>
      </c>
      <c r="G127">
        <f>IFERROR(INT(F127/E127),0)</f>
        <v/>
      </c>
      <c r="H127">
        <f>IFERROR(MOD(F127,E127),0)</f>
        <v/>
      </c>
      <c r="I127">
        <f>IFERROR(SUMIFS(Journal!$N:$N,Journal!$B:$B,TRUE,Journal!$D:$D,"ACHAT",Journal!$E:$E,A127)/SUMIFS(Journal!$K:$K,Journal!$B:$B,TRUE,Journal!$D:$D,"ACHAT",Journal!$E:$E,A127),"")</f>
        <v/>
      </c>
    </row>
    <row r="128">
      <c r="F128">
        <f>IFERROR(SUMIFS(Journal!$K:$K,Journal!$B:$B,TRUE,Journal!$E:$E,A128),0)</f>
        <v/>
      </c>
      <c r="G128">
        <f>IFERROR(INT(F128/E128),0)</f>
        <v/>
      </c>
      <c r="H128">
        <f>IFERROR(MOD(F128,E128),0)</f>
        <v/>
      </c>
      <c r="I128">
        <f>IFERROR(SUMIFS(Journal!$N:$N,Journal!$B:$B,TRUE,Journal!$D:$D,"ACHAT",Journal!$E:$E,A128)/SUMIFS(Journal!$K:$K,Journal!$B:$B,TRUE,Journal!$D:$D,"ACHAT",Journal!$E:$E,A128),"")</f>
        <v/>
      </c>
    </row>
    <row r="129">
      <c r="F129">
        <f>IFERROR(SUMIFS(Journal!$K:$K,Journal!$B:$B,TRUE,Journal!$E:$E,A129),0)</f>
        <v/>
      </c>
      <c r="G129">
        <f>IFERROR(INT(F129/E129),0)</f>
        <v/>
      </c>
      <c r="H129">
        <f>IFERROR(MOD(F129,E129),0)</f>
        <v/>
      </c>
      <c r="I129">
        <f>IFERROR(SUMIFS(Journal!$N:$N,Journal!$B:$B,TRUE,Journal!$D:$D,"ACHAT",Journal!$E:$E,A129)/SUMIFS(Journal!$K:$K,Journal!$B:$B,TRUE,Journal!$D:$D,"ACHAT",Journal!$E:$E,A129),"")</f>
        <v/>
      </c>
    </row>
    <row r="130">
      <c r="F130">
        <f>IFERROR(SUMIFS(Journal!$K:$K,Journal!$B:$B,TRUE,Journal!$E:$E,A130),0)</f>
        <v/>
      </c>
      <c r="G130">
        <f>IFERROR(INT(F130/E130),0)</f>
        <v/>
      </c>
      <c r="H130">
        <f>IFERROR(MOD(F130,E130),0)</f>
        <v/>
      </c>
      <c r="I130">
        <f>IFERROR(SUMIFS(Journal!$N:$N,Journal!$B:$B,TRUE,Journal!$D:$D,"ACHAT",Journal!$E:$E,A130)/SUMIFS(Journal!$K:$K,Journal!$B:$B,TRUE,Journal!$D:$D,"ACHAT",Journal!$E:$E,A130),"")</f>
        <v/>
      </c>
    </row>
    <row r="131">
      <c r="F131">
        <f>IFERROR(SUMIFS(Journal!$K:$K,Journal!$B:$B,TRUE,Journal!$E:$E,A131),0)</f>
        <v/>
      </c>
      <c r="G131">
        <f>IFERROR(INT(F131/E131),0)</f>
        <v/>
      </c>
      <c r="H131">
        <f>IFERROR(MOD(F131,E131),0)</f>
        <v/>
      </c>
      <c r="I131">
        <f>IFERROR(SUMIFS(Journal!$N:$N,Journal!$B:$B,TRUE,Journal!$D:$D,"ACHAT",Journal!$E:$E,A131)/SUMIFS(Journal!$K:$K,Journal!$B:$B,TRUE,Journal!$D:$D,"ACHAT",Journal!$E:$E,A131),"")</f>
        <v/>
      </c>
    </row>
    <row r="132">
      <c r="F132">
        <f>IFERROR(SUMIFS(Journal!$K:$K,Journal!$B:$B,TRUE,Journal!$E:$E,A132),0)</f>
        <v/>
      </c>
      <c r="G132">
        <f>IFERROR(INT(F132/E132),0)</f>
        <v/>
      </c>
      <c r="H132">
        <f>IFERROR(MOD(F132,E132),0)</f>
        <v/>
      </c>
      <c r="I132">
        <f>IFERROR(SUMIFS(Journal!$N:$N,Journal!$B:$B,TRUE,Journal!$D:$D,"ACHAT",Journal!$E:$E,A132)/SUMIFS(Journal!$K:$K,Journal!$B:$B,TRUE,Journal!$D:$D,"ACHAT",Journal!$E:$E,A132),"")</f>
        <v/>
      </c>
    </row>
    <row r="133">
      <c r="F133">
        <f>IFERROR(SUMIFS(Journal!$K:$K,Journal!$B:$B,TRUE,Journal!$E:$E,A133),0)</f>
        <v/>
      </c>
      <c r="G133">
        <f>IFERROR(INT(F133/E133),0)</f>
        <v/>
      </c>
      <c r="H133">
        <f>IFERROR(MOD(F133,E133),0)</f>
        <v/>
      </c>
      <c r="I133">
        <f>IFERROR(SUMIFS(Journal!$N:$N,Journal!$B:$B,TRUE,Journal!$D:$D,"ACHAT",Journal!$E:$E,A133)/SUMIFS(Journal!$K:$K,Journal!$B:$B,TRUE,Journal!$D:$D,"ACHAT",Journal!$E:$E,A133),"")</f>
        <v/>
      </c>
    </row>
    <row r="134">
      <c r="F134">
        <f>IFERROR(SUMIFS(Journal!$K:$K,Journal!$B:$B,TRUE,Journal!$E:$E,A134),0)</f>
        <v/>
      </c>
      <c r="G134">
        <f>IFERROR(INT(F134/E134),0)</f>
        <v/>
      </c>
      <c r="H134">
        <f>IFERROR(MOD(F134,E134),0)</f>
        <v/>
      </c>
      <c r="I134">
        <f>IFERROR(SUMIFS(Journal!$N:$N,Journal!$B:$B,TRUE,Journal!$D:$D,"ACHAT",Journal!$E:$E,A134)/SUMIFS(Journal!$K:$K,Journal!$B:$B,TRUE,Journal!$D:$D,"ACHAT",Journal!$E:$E,A134),"")</f>
        <v/>
      </c>
    </row>
    <row r="135">
      <c r="F135">
        <f>IFERROR(SUMIFS(Journal!$K:$K,Journal!$B:$B,TRUE,Journal!$E:$E,A135),0)</f>
        <v/>
      </c>
      <c r="G135">
        <f>IFERROR(INT(F135/E135),0)</f>
        <v/>
      </c>
      <c r="H135">
        <f>IFERROR(MOD(F135,E135),0)</f>
        <v/>
      </c>
      <c r="I135">
        <f>IFERROR(SUMIFS(Journal!$N:$N,Journal!$B:$B,TRUE,Journal!$D:$D,"ACHAT",Journal!$E:$E,A135)/SUMIFS(Journal!$K:$K,Journal!$B:$B,TRUE,Journal!$D:$D,"ACHAT",Journal!$E:$E,A135),"")</f>
        <v/>
      </c>
    </row>
    <row r="136">
      <c r="F136">
        <f>IFERROR(SUMIFS(Journal!$K:$K,Journal!$B:$B,TRUE,Journal!$E:$E,A136),0)</f>
        <v/>
      </c>
      <c r="G136">
        <f>IFERROR(INT(F136/E136),0)</f>
        <v/>
      </c>
      <c r="H136">
        <f>IFERROR(MOD(F136,E136),0)</f>
        <v/>
      </c>
      <c r="I136">
        <f>IFERROR(SUMIFS(Journal!$N:$N,Journal!$B:$B,TRUE,Journal!$D:$D,"ACHAT",Journal!$E:$E,A136)/SUMIFS(Journal!$K:$K,Journal!$B:$B,TRUE,Journal!$D:$D,"ACHAT",Journal!$E:$E,A136),"")</f>
        <v/>
      </c>
    </row>
    <row r="137">
      <c r="F137">
        <f>IFERROR(SUMIFS(Journal!$K:$K,Journal!$B:$B,TRUE,Journal!$E:$E,A137),0)</f>
        <v/>
      </c>
      <c r="G137">
        <f>IFERROR(INT(F137/E137),0)</f>
        <v/>
      </c>
      <c r="H137">
        <f>IFERROR(MOD(F137,E137),0)</f>
        <v/>
      </c>
      <c r="I137">
        <f>IFERROR(SUMIFS(Journal!$N:$N,Journal!$B:$B,TRUE,Journal!$D:$D,"ACHAT",Journal!$E:$E,A137)/SUMIFS(Journal!$K:$K,Journal!$B:$B,TRUE,Journal!$D:$D,"ACHAT",Journal!$E:$E,A137),"")</f>
        <v/>
      </c>
    </row>
    <row r="138">
      <c r="F138">
        <f>IFERROR(SUMIFS(Journal!$K:$K,Journal!$B:$B,TRUE,Journal!$E:$E,A138),0)</f>
        <v/>
      </c>
      <c r="G138">
        <f>IFERROR(INT(F138/E138),0)</f>
        <v/>
      </c>
      <c r="H138">
        <f>IFERROR(MOD(F138,E138),0)</f>
        <v/>
      </c>
      <c r="I138">
        <f>IFERROR(SUMIFS(Journal!$N:$N,Journal!$B:$B,TRUE,Journal!$D:$D,"ACHAT",Journal!$E:$E,A138)/SUMIFS(Journal!$K:$K,Journal!$B:$B,TRUE,Journal!$D:$D,"ACHAT",Journal!$E:$E,A138),"")</f>
        <v/>
      </c>
    </row>
    <row r="139">
      <c r="F139">
        <f>IFERROR(SUMIFS(Journal!$K:$K,Journal!$B:$B,TRUE,Journal!$E:$E,A139),0)</f>
        <v/>
      </c>
      <c r="G139">
        <f>IFERROR(INT(F139/E139),0)</f>
        <v/>
      </c>
      <c r="H139">
        <f>IFERROR(MOD(F139,E139),0)</f>
        <v/>
      </c>
      <c r="I139">
        <f>IFERROR(SUMIFS(Journal!$N:$N,Journal!$B:$B,TRUE,Journal!$D:$D,"ACHAT",Journal!$E:$E,A139)/SUMIFS(Journal!$K:$K,Journal!$B:$B,TRUE,Journal!$D:$D,"ACHAT",Journal!$E:$E,A139),"")</f>
        <v/>
      </c>
    </row>
    <row r="140">
      <c r="F140">
        <f>IFERROR(SUMIFS(Journal!$K:$K,Journal!$B:$B,TRUE,Journal!$E:$E,A140),0)</f>
        <v/>
      </c>
      <c r="G140">
        <f>IFERROR(INT(F140/E140),0)</f>
        <v/>
      </c>
      <c r="H140">
        <f>IFERROR(MOD(F140,E140),0)</f>
        <v/>
      </c>
      <c r="I140">
        <f>IFERROR(SUMIFS(Journal!$N:$N,Journal!$B:$B,TRUE,Journal!$D:$D,"ACHAT",Journal!$E:$E,A140)/SUMIFS(Journal!$K:$K,Journal!$B:$B,TRUE,Journal!$D:$D,"ACHAT",Journal!$E:$E,A140),"")</f>
        <v/>
      </c>
    </row>
    <row r="141">
      <c r="F141">
        <f>IFERROR(SUMIFS(Journal!$K:$K,Journal!$B:$B,TRUE,Journal!$E:$E,A141),0)</f>
        <v/>
      </c>
      <c r="G141">
        <f>IFERROR(INT(F141/E141),0)</f>
        <v/>
      </c>
      <c r="H141">
        <f>IFERROR(MOD(F141,E141),0)</f>
        <v/>
      </c>
      <c r="I141">
        <f>IFERROR(SUMIFS(Journal!$N:$N,Journal!$B:$B,TRUE,Journal!$D:$D,"ACHAT",Journal!$E:$E,A141)/SUMIFS(Journal!$K:$K,Journal!$B:$B,TRUE,Journal!$D:$D,"ACHAT",Journal!$E:$E,A141),"")</f>
        <v/>
      </c>
    </row>
    <row r="142">
      <c r="F142">
        <f>IFERROR(SUMIFS(Journal!$K:$K,Journal!$B:$B,TRUE,Journal!$E:$E,A142),0)</f>
        <v/>
      </c>
      <c r="G142">
        <f>IFERROR(INT(F142/E142),0)</f>
        <v/>
      </c>
      <c r="H142">
        <f>IFERROR(MOD(F142,E142),0)</f>
        <v/>
      </c>
      <c r="I142">
        <f>IFERROR(SUMIFS(Journal!$N:$N,Journal!$B:$B,TRUE,Journal!$D:$D,"ACHAT",Journal!$E:$E,A142)/SUMIFS(Journal!$K:$K,Journal!$B:$B,TRUE,Journal!$D:$D,"ACHAT",Journal!$E:$E,A142),"")</f>
        <v/>
      </c>
    </row>
    <row r="143">
      <c r="F143">
        <f>IFERROR(SUMIFS(Journal!$K:$K,Journal!$B:$B,TRUE,Journal!$E:$E,A143),0)</f>
        <v/>
      </c>
      <c r="G143">
        <f>IFERROR(INT(F143/E143),0)</f>
        <v/>
      </c>
      <c r="H143">
        <f>IFERROR(MOD(F143,E143),0)</f>
        <v/>
      </c>
      <c r="I143">
        <f>IFERROR(SUMIFS(Journal!$N:$N,Journal!$B:$B,TRUE,Journal!$D:$D,"ACHAT",Journal!$E:$E,A143)/SUMIFS(Journal!$K:$K,Journal!$B:$B,TRUE,Journal!$D:$D,"ACHAT",Journal!$E:$E,A143),"")</f>
        <v/>
      </c>
    </row>
    <row r="144">
      <c r="F144">
        <f>IFERROR(SUMIFS(Journal!$K:$K,Journal!$B:$B,TRUE,Journal!$E:$E,A144),0)</f>
        <v/>
      </c>
      <c r="G144">
        <f>IFERROR(INT(F144/E144),0)</f>
        <v/>
      </c>
      <c r="H144">
        <f>IFERROR(MOD(F144,E144),0)</f>
        <v/>
      </c>
      <c r="I144">
        <f>IFERROR(SUMIFS(Journal!$N:$N,Journal!$B:$B,TRUE,Journal!$D:$D,"ACHAT",Journal!$E:$E,A144)/SUMIFS(Journal!$K:$K,Journal!$B:$B,TRUE,Journal!$D:$D,"ACHAT",Journal!$E:$E,A144),"")</f>
        <v/>
      </c>
    </row>
    <row r="145">
      <c r="F145">
        <f>IFERROR(SUMIFS(Journal!$K:$K,Journal!$B:$B,TRUE,Journal!$E:$E,A145),0)</f>
        <v/>
      </c>
      <c r="G145">
        <f>IFERROR(INT(F145/E145),0)</f>
        <v/>
      </c>
      <c r="H145">
        <f>IFERROR(MOD(F145,E145),0)</f>
        <v/>
      </c>
      <c r="I145">
        <f>IFERROR(SUMIFS(Journal!$N:$N,Journal!$B:$B,TRUE,Journal!$D:$D,"ACHAT",Journal!$E:$E,A145)/SUMIFS(Journal!$K:$K,Journal!$B:$B,TRUE,Journal!$D:$D,"ACHAT",Journal!$E:$E,A145),"")</f>
        <v/>
      </c>
    </row>
    <row r="146">
      <c r="F146">
        <f>IFERROR(SUMIFS(Journal!$K:$K,Journal!$B:$B,TRUE,Journal!$E:$E,A146),0)</f>
        <v/>
      </c>
      <c r="G146">
        <f>IFERROR(INT(F146/E146),0)</f>
        <v/>
      </c>
      <c r="H146">
        <f>IFERROR(MOD(F146,E146),0)</f>
        <v/>
      </c>
      <c r="I146">
        <f>IFERROR(SUMIFS(Journal!$N:$N,Journal!$B:$B,TRUE,Journal!$D:$D,"ACHAT",Journal!$E:$E,A146)/SUMIFS(Journal!$K:$K,Journal!$B:$B,TRUE,Journal!$D:$D,"ACHAT",Journal!$E:$E,A146),"")</f>
        <v/>
      </c>
    </row>
    <row r="147">
      <c r="F147">
        <f>IFERROR(SUMIFS(Journal!$K:$K,Journal!$B:$B,TRUE,Journal!$E:$E,A147),0)</f>
        <v/>
      </c>
      <c r="G147">
        <f>IFERROR(INT(F147/E147),0)</f>
        <v/>
      </c>
      <c r="H147">
        <f>IFERROR(MOD(F147,E147),0)</f>
        <v/>
      </c>
      <c r="I147">
        <f>IFERROR(SUMIFS(Journal!$N:$N,Journal!$B:$B,TRUE,Journal!$D:$D,"ACHAT",Journal!$E:$E,A147)/SUMIFS(Journal!$K:$K,Journal!$B:$B,TRUE,Journal!$D:$D,"ACHAT",Journal!$E:$E,A147),"")</f>
        <v/>
      </c>
    </row>
    <row r="148">
      <c r="F148">
        <f>IFERROR(SUMIFS(Journal!$K:$K,Journal!$B:$B,TRUE,Journal!$E:$E,A148),0)</f>
        <v/>
      </c>
      <c r="G148">
        <f>IFERROR(INT(F148/E148),0)</f>
        <v/>
      </c>
      <c r="H148">
        <f>IFERROR(MOD(F148,E148),0)</f>
        <v/>
      </c>
      <c r="I148">
        <f>IFERROR(SUMIFS(Journal!$N:$N,Journal!$B:$B,TRUE,Journal!$D:$D,"ACHAT",Journal!$E:$E,A148)/SUMIFS(Journal!$K:$K,Journal!$B:$B,TRUE,Journal!$D:$D,"ACHAT",Journal!$E:$E,A148),"")</f>
        <v/>
      </c>
    </row>
    <row r="149">
      <c r="F149">
        <f>IFERROR(SUMIFS(Journal!$K:$K,Journal!$B:$B,TRUE,Journal!$E:$E,A149),0)</f>
        <v/>
      </c>
      <c r="G149">
        <f>IFERROR(INT(F149/E149),0)</f>
        <v/>
      </c>
      <c r="H149">
        <f>IFERROR(MOD(F149,E149),0)</f>
        <v/>
      </c>
      <c r="I149">
        <f>IFERROR(SUMIFS(Journal!$N:$N,Journal!$B:$B,TRUE,Journal!$D:$D,"ACHAT",Journal!$E:$E,A149)/SUMIFS(Journal!$K:$K,Journal!$B:$B,TRUE,Journal!$D:$D,"ACHAT",Journal!$E:$E,A149),"")</f>
        <v/>
      </c>
    </row>
    <row r="150">
      <c r="F150">
        <f>IFERROR(SUMIFS(Journal!$K:$K,Journal!$B:$B,TRUE,Journal!$E:$E,A150),0)</f>
        <v/>
      </c>
      <c r="G150">
        <f>IFERROR(INT(F150/E150),0)</f>
        <v/>
      </c>
      <c r="H150">
        <f>IFERROR(MOD(F150,E150),0)</f>
        <v/>
      </c>
      <c r="I150">
        <f>IFERROR(SUMIFS(Journal!$N:$N,Journal!$B:$B,TRUE,Journal!$D:$D,"ACHAT",Journal!$E:$E,A150)/SUMIFS(Journal!$K:$K,Journal!$B:$B,TRUE,Journal!$D:$D,"ACHAT",Journal!$E:$E,A150),"")</f>
        <v/>
      </c>
    </row>
    <row r="151">
      <c r="F151">
        <f>IFERROR(SUMIFS(Journal!$K:$K,Journal!$B:$B,TRUE,Journal!$E:$E,A151),0)</f>
        <v/>
      </c>
      <c r="G151">
        <f>IFERROR(INT(F151/E151),0)</f>
        <v/>
      </c>
      <c r="H151">
        <f>IFERROR(MOD(F151,E151),0)</f>
        <v/>
      </c>
      <c r="I151">
        <f>IFERROR(SUMIFS(Journal!$N:$N,Journal!$B:$B,TRUE,Journal!$D:$D,"ACHAT",Journal!$E:$E,A151)/SUMIFS(Journal!$K:$K,Journal!$B:$B,TRUE,Journal!$D:$D,"ACHAT",Journal!$E:$E,A151),"")</f>
        <v/>
      </c>
    </row>
    <row r="152">
      <c r="F152">
        <f>IFERROR(SUMIFS(Journal!$K:$K,Journal!$B:$B,TRUE,Journal!$E:$E,A152),0)</f>
        <v/>
      </c>
      <c r="G152">
        <f>IFERROR(INT(F152/E152),0)</f>
        <v/>
      </c>
      <c r="H152">
        <f>IFERROR(MOD(F152,E152),0)</f>
        <v/>
      </c>
      <c r="I152">
        <f>IFERROR(SUMIFS(Journal!$N:$N,Journal!$B:$B,TRUE,Journal!$D:$D,"ACHAT",Journal!$E:$E,A152)/SUMIFS(Journal!$K:$K,Journal!$B:$B,TRUE,Journal!$D:$D,"ACHAT",Journal!$E:$E,A152),"")</f>
        <v/>
      </c>
    </row>
    <row r="153">
      <c r="F153">
        <f>IFERROR(SUMIFS(Journal!$K:$K,Journal!$B:$B,TRUE,Journal!$E:$E,A153),0)</f>
        <v/>
      </c>
      <c r="G153">
        <f>IFERROR(INT(F153/E153),0)</f>
        <v/>
      </c>
      <c r="H153">
        <f>IFERROR(MOD(F153,E153),0)</f>
        <v/>
      </c>
      <c r="I153">
        <f>IFERROR(SUMIFS(Journal!$N:$N,Journal!$B:$B,TRUE,Journal!$D:$D,"ACHAT",Journal!$E:$E,A153)/SUMIFS(Journal!$K:$K,Journal!$B:$B,TRUE,Journal!$D:$D,"ACHAT",Journal!$E:$E,A153),"")</f>
        <v/>
      </c>
    </row>
    <row r="154">
      <c r="F154">
        <f>IFERROR(SUMIFS(Journal!$K:$K,Journal!$B:$B,TRUE,Journal!$E:$E,A154),0)</f>
        <v/>
      </c>
      <c r="G154">
        <f>IFERROR(INT(F154/E154),0)</f>
        <v/>
      </c>
      <c r="H154">
        <f>IFERROR(MOD(F154,E154),0)</f>
        <v/>
      </c>
      <c r="I154">
        <f>IFERROR(SUMIFS(Journal!$N:$N,Journal!$B:$B,TRUE,Journal!$D:$D,"ACHAT",Journal!$E:$E,A154)/SUMIFS(Journal!$K:$K,Journal!$B:$B,TRUE,Journal!$D:$D,"ACHAT",Journal!$E:$E,A154),"")</f>
        <v/>
      </c>
    </row>
    <row r="155">
      <c r="F155">
        <f>IFERROR(SUMIFS(Journal!$K:$K,Journal!$B:$B,TRUE,Journal!$E:$E,A155),0)</f>
        <v/>
      </c>
      <c r="G155">
        <f>IFERROR(INT(F155/E155),0)</f>
        <v/>
      </c>
      <c r="H155">
        <f>IFERROR(MOD(F155,E155),0)</f>
        <v/>
      </c>
      <c r="I155">
        <f>IFERROR(SUMIFS(Journal!$N:$N,Journal!$B:$B,TRUE,Journal!$D:$D,"ACHAT",Journal!$E:$E,A155)/SUMIFS(Journal!$K:$K,Journal!$B:$B,TRUE,Journal!$D:$D,"ACHAT",Journal!$E:$E,A155),"")</f>
        <v/>
      </c>
    </row>
    <row r="156">
      <c r="F156">
        <f>IFERROR(SUMIFS(Journal!$K:$K,Journal!$B:$B,TRUE,Journal!$E:$E,A156),0)</f>
        <v/>
      </c>
      <c r="G156">
        <f>IFERROR(INT(F156/E156),0)</f>
        <v/>
      </c>
      <c r="H156">
        <f>IFERROR(MOD(F156,E156),0)</f>
        <v/>
      </c>
      <c r="I156">
        <f>IFERROR(SUMIFS(Journal!$N:$N,Journal!$B:$B,TRUE,Journal!$D:$D,"ACHAT",Journal!$E:$E,A156)/SUMIFS(Journal!$K:$K,Journal!$B:$B,TRUE,Journal!$D:$D,"ACHAT",Journal!$E:$E,A156),"")</f>
        <v/>
      </c>
    </row>
    <row r="157">
      <c r="F157">
        <f>IFERROR(SUMIFS(Journal!$K:$K,Journal!$B:$B,TRUE,Journal!$E:$E,A157),0)</f>
        <v/>
      </c>
      <c r="G157">
        <f>IFERROR(INT(F157/E157),0)</f>
        <v/>
      </c>
      <c r="H157">
        <f>IFERROR(MOD(F157,E157),0)</f>
        <v/>
      </c>
      <c r="I157">
        <f>IFERROR(SUMIFS(Journal!$N:$N,Journal!$B:$B,TRUE,Journal!$D:$D,"ACHAT",Journal!$E:$E,A157)/SUMIFS(Journal!$K:$K,Journal!$B:$B,TRUE,Journal!$D:$D,"ACHAT",Journal!$E:$E,A157),"")</f>
        <v/>
      </c>
    </row>
    <row r="158">
      <c r="F158">
        <f>IFERROR(SUMIFS(Journal!$K:$K,Journal!$B:$B,TRUE,Journal!$E:$E,A158),0)</f>
        <v/>
      </c>
      <c r="G158">
        <f>IFERROR(INT(F158/E158),0)</f>
        <v/>
      </c>
      <c r="H158">
        <f>IFERROR(MOD(F158,E158),0)</f>
        <v/>
      </c>
      <c r="I158">
        <f>IFERROR(SUMIFS(Journal!$N:$N,Journal!$B:$B,TRUE,Journal!$D:$D,"ACHAT",Journal!$E:$E,A158)/SUMIFS(Journal!$K:$K,Journal!$B:$B,TRUE,Journal!$D:$D,"ACHAT",Journal!$E:$E,A158),"")</f>
        <v/>
      </c>
    </row>
    <row r="159">
      <c r="F159">
        <f>IFERROR(SUMIFS(Journal!$K:$K,Journal!$B:$B,TRUE,Journal!$E:$E,A159),0)</f>
        <v/>
      </c>
      <c r="G159">
        <f>IFERROR(INT(F159/E159),0)</f>
        <v/>
      </c>
      <c r="H159">
        <f>IFERROR(MOD(F159,E159),0)</f>
        <v/>
      </c>
      <c r="I159">
        <f>IFERROR(SUMIFS(Journal!$N:$N,Journal!$B:$B,TRUE,Journal!$D:$D,"ACHAT",Journal!$E:$E,A159)/SUMIFS(Journal!$K:$K,Journal!$B:$B,TRUE,Journal!$D:$D,"ACHAT",Journal!$E:$E,A159),"")</f>
        <v/>
      </c>
    </row>
    <row r="160">
      <c r="F160">
        <f>IFERROR(SUMIFS(Journal!$K:$K,Journal!$B:$B,TRUE,Journal!$E:$E,A160),0)</f>
        <v/>
      </c>
      <c r="G160">
        <f>IFERROR(INT(F160/E160),0)</f>
        <v/>
      </c>
      <c r="H160">
        <f>IFERROR(MOD(F160,E160),0)</f>
        <v/>
      </c>
      <c r="I160">
        <f>IFERROR(SUMIFS(Journal!$N:$N,Journal!$B:$B,TRUE,Journal!$D:$D,"ACHAT",Journal!$E:$E,A160)/SUMIFS(Journal!$K:$K,Journal!$B:$B,TRUE,Journal!$D:$D,"ACHAT",Journal!$E:$E,A160),"")</f>
        <v/>
      </c>
    </row>
    <row r="161">
      <c r="F161">
        <f>IFERROR(SUMIFS(Journal!$K:$K,Journal!$B:$B,TRUE,Journal!$E:$E,A161),0)</f>
        <v/>
      </c>
      <c r="G161">
        <f>IFERROR(INT(F161/E161),0)</f>
        <v/>
      </c>
      <c r="H161">
        <f>IFERROR(MOD(F161,E161),0)</f>
        <v/>
      </c>
      <c r="I161">
        <f>IFERROR(SUMIFS(Journal!$N:$N,Journal!$B:$B,TRUE,Journal!$D:$D,"ACHAT",Journal!$E:$E,A161)/SUMIFS(Journal!$K:$K,Journal!$B:$B,TRUE,Journal!$D:$D,"ACHAT",Journal!$E:$E,A161),"")</f>
        <v/>
      </c>
    </row>
    <row r="162">
      <c r="F162">
        <f>IFERROR(SUMIFS(Journal!$K:$K,Journal!$B:$B,TRUE,Journal!$E:$E,A162),0)</f>
        <v/>
      </c>
      <c r="G162">
        <f>IFERROR(INT(F162/E162),0)</f>
        <v/>
      </c>
      <c r="H162">
        <f>IFERROR(MOD(F162,E162),0)</f>
        <v/>
      </c>
      <c r="I162">
        <f>IFERROR(SUMIFS(Journal!$N:$N,Journal!$B:$B,TRUE,Journal!$D:$D,"ACHAT",Journal!$E:$E,A162)/SUMIFS(Journal!$K:$K,Journal!$B:$B,TRUE,Journal!$D:$D,"ACHAT",Journal!$E:$E,A162),"")</f>
        <v/>
      </c>
    </row>
    <row r="163">
      <c r="F163">
        <f>IFERROR(SUMIFS(Journal!$K:$K,Journal!$B:$B,TRUE,Journal!$E:$E,A163),0)</f>
        <v/>
      </c>
      <c r="G163">
        <f>IFERROR(INT(F163/E163),0)</f>
        <v/>
      </c>
      <c r="H163">
        <f>IFERROR(MOD(F163,E163),0)</f>
        <v/>
      </c>
      <c r="I163">
        <f>IFERROR(SUMIFS(Journal!$N:$N,Journal!$B:$B,TRUE,Journal!$D:$D,"ACHAT",Journal!$E:$E,A163)/SUMIFS(Journal!$K:$K,Journal!$B:$B,TRUE,Journal!$D:$D,"ACHAT",Journal!$E:$E,A163),"")</f>
        <v/>
      </c>
    </row>
    <row r="164">
      <c r="F164">
        <f>IFERROR(SUMIFS(Journal!$K:$K,Journal!$B:$B,TRUE,Journal!$E:$E,A164),0)</f>
        <v/>
      </c>
      <c r="G164">
        <f>IFERROR(INT(F164/E164),0)</f>
        <v/>
      </c>
      <c r="H164">
        <f>IFERROR(MOD(F164,E164),0)</f>
        <v/>
      </c>
      <c r="I164">
        <f>IFERROR(SUMIFS(Journal!$N:$N,Journal!$B:$B,TRUE,Journal!$D:$D,"ACHAT",Journal!$E:$E,A164)/SUMIFS(Journal!$K:$K,Journal!$B:$B,TRUE,Journal!$D:$D,"ACHAT",Journal!$E:$E,A164),"")</f>
        <v/>
      </c>
    </row>
    <row r="165">
      <c r="F165">
        <f>IFERROR(SUMIFS(Journal!$K:$K,Journal!$B:$B,TRUE,Journal!$E:$E,A165),0)</f>
        <v/>
      </c>
      <c r="G165">
        <f>IFERROR(INT(F165/E165),0)</f>
        <v/>
      </c>
      <c r="H165">
        <f>IFERROR(MOD(F165,E165),0)</f>
        <v/>
      </c>
      <c r="I165">
        <f>IFERROR(SUMIFS(Journal!$N:$N,Journal!$B:$B,TRUE,Journal!$D:$D,"ACHAT",Journal!$E:$E,A165)/SUMIFS(Journal!$K:$K,Journal!$B:$B,TRUE,Journal!$D:$D,"ACHAT",Journal!$E:$E,A165),"")</f>
        <v/>
      </c>
    </row>
    <row r="166">
      <c r="F166">
        <f>IFERROR(SUMIFS(Journal!$K:$K,Journal!$B:$B,TRUE,Journal!$E:$E,A166),0)</f>
        <v/>
      </c>
      <c r="G166">
        <f>IFERROR(INT(F166/E166),0)</f>
        <v/>
      </c>
      <c r="H166">
        <f>IFERROR(MOD(F166,E166),0)</f>
        <v/>
      </c>
      <c r="I166">
        <f>IFERROR(SUMIFS(Journal!$N:$N,Journal!$B:$B,TRUE,Journal!$D:$D,"ACHAT",Journal!$E:$E,A166)/SUMIFS(Journal!$K:$K,Journal!$B:$B,TRUE,Journal!$D:$D,"ACHAT",Journal!$E:$E,A166),"")</f>
        <v/>
      </c>
    </row>
    <row r="167">
      <c r="F167">
        <f>IFERROR(SUMIFS(Journal!$K:$K,Journal!$B:$B,TRUE,Journal!$E:$E,A167),0)</f>
        <v/>
      </c>
      <c r="G167">
        <f>IFERROR(INT(F167/E167),0)</f>
        <v/>
      </c>
      <c r="H167">
        <f>IFERROR(MOD(F167,E167),0)</f>
        <v/>
      </c>
      <c r="I167">
        <f>IFERROR(SUMIFS(Journal!$N:$N,Journal!$B:$B,TRUE,Journal!$D:$D,"ACHAT",Journal!$E:$E,A167)/SUMIFS(Journal!$K:$K,Journal!$B:$B,TRUE,Journal!$D:$D,"ACHAT",Journal!$E:$E,A167),"")</f>
        <v/>
      </c>
    </row>
    <row r="168">
      <c r="F168">
        <f>IFERROR(SUMIFS(Journal!$K:$K,Journal!$B:$B,TRUE,Journal!$E:$E,A168),0)</f>
        <v/>
      </c>
      <c r="G168">
        <f>IFERROR(INT(F168/E168),0)</f>
        <v/>
      </c>
      <c r="H168">
        <f>IFERROR(MOD(F168,E168),0)</f>
        <v/>
      </c>
      <c r="I168">
        <f>IFERROR(SUMIFS(Journal!$N:$N,Journal!$B:$B,TRUE,Journal!$D:$D,"ACHAT",Journal!$E:$E,A168)/SUMIFS(Journal!$K:$K,Journal!$B:$B,TRUE,Journal!$D:$D,"ACHAT",Journal!$E:$E,A168),"")</f>
        <v/>
      </c>
    </row>
    <row r="169">
      <c r="F169">
        <f>IFERROR(SUMIFS(Journal!$K:$K,Journal!$B:$B,TRUE,Journal!$E:$E,A169),0)</f>
        <v/>
      </c>
      <c r="G169">
        <f>IFERROR(INT(F169/E169),0)</f>
        <v/>
      </c>
      <c r="H169">
        <f>IFERROR(MOD(F169,E169),0)</f>
        <v/>
      </c>
      <c r="I169">
        <f>IFERROR(SUMIFS(Journal!$N:$N,Journal!$B:$B,TRUE,Journal!$D:$D,"ACHAT",Journal!$E:$E,A169)/SUMIFS(Journal!$K:$K,Journal!$B:$B,TRUE,Journal!$D:$D,"ACHAT",Journal!$E:$E,A169),"")</f>
        <v/>
      </c>
    </row>
    <row r="170">
      <c r="F170">
        <f>IFERROR(SUMIFS(Journal!$K:$K,Journal!$B:$B,TRUE,Journal!$E:$E,A170),0)</f>
        <v/>
      </c>
      <c r="G170">
        <f>IFERROR(INT(F170/E170),0)</f>
        <v/>
      </c>
      <c r="H170">
        <f>IFERROR(MOD(F170,E170),0)</f>
        <v/>
      </c>
      <c r="I170">
        <f>IFERROR(SUMIFS(Journal!$N:$N,Journal!$B:$B,TRUE,Journal!$D:$D,"ACHAT",Journal!$E:$E,A170)/SUMIFS(Journal!$K:$K,Journal!$B:$B,TRUE,Journal!$D:$D,"ACHAT",Journal!$E:$E,A170),"")</f>
        <v/>
      </c>
    </row>
    <row r="171">
      <c r="F171">
        <f>IFERROR(SUMIFS(Journal!$K:$K,Journal!$B:$B,TRUE,Journal!$E:$E,A171),0)</f>
        <v/>
      </c>
      <c r="G171">
        <f>IFERROR(INT(F171/E171),0)</f>
        <v/>
      </c>
      <c r="H171">
        <f>IFERROR(MOD(F171,E171),0)</f>
        <v/>
      </c>
      <c r="I171">
        <f>IFERROR(SUMIFS(Journal!$N:$N,Journal!$B:$B,TRUE,Journal!$D:$D,"ACHAT",Journal!$E:$E,A171)/SUMIFS(Journal!$K:$K,Journal!$B:$B,TRUE,Journal!$D:$D,"ACHAT",Journal!$E:$E,A171),"")</f>
        <v/>
      </c>
    </row>
    <row r="172">
      <c r="F172">
        <f>IFERROR(SUMIFS(Journal!$K:$K,Journal!$B:$B,TRUE,Journal!$E:$E,A172),0)</f>
        <v/>
      </c>
      <c r="G172">
        <f>IFERROR(INT(F172/E172),0)</f>
        <v/>
      </c>
      <c r="H172">
        <f>IFERROR(MOD(F172,E172),0)</f>
        <v/>
      </c>
      <c r="I172">
        <f>IFERROR(SUMIFS(Journal!$N:$N,Journal!$B:$B,TRUE,Journal!$D:$D,"ACHAT",Journal!$E:$E,A172)/SUMIFS(Journal!$K:$K,Journal!$B:$B,TRUE,Journal!$D:$D,"ACHAT",Journal!$E:$E,A172),"")</f>
        <v/>
      </c>
    </row>
    <row r="173">
      <c r="F173">
        <f>IFERROR(SUMIFS(Journal!$K:$K,Journal!$B:$B,TRUE,Journal!$E:$E,A173),0)</f>
        <v/>
      </c>
      <c r="G173">
        <f>IFERROR(INT(F173/E173),0)</f>
        <v/>
      </c>
      <c r="H173">
        <f>IFERROR(MOD(F173,E173),0)</f>
        <v/>
      </c>
      <c r="I173">
        <f>IFERROR(SUMIFS(Journal!$N:$N,Journal!$B:$B,TRUE,Journal!$D:$D,"ACHAT",Journal!$E:$E,A173)/SUMIFS(Journal!$K:$K,Journal!$B:$B,TRUE,Journal!$D:$D,"ACHAT",Journal!$E:$E,A173),"")</f>
        <v/>
      </c>
    </row>
    <row r="174">
      <c r="F174">
        <f>IFERROR(SUMIFS(Journal!$K:$K,Journal!$B:$B,TRUE,Journal!$E:$E,A174),0)</f>
        <v/>
      </c>
      <c r="G174">
        <f>IFERROR(INT(F174/E174),0)</f>
        <v/>
      </c>
      <c r="H174">
        <f>IFERROR(MOD(F174,E174),0)</f>
        <v/>
      </c>
      <c r="I174">
        <f>IFERROR(SUMIFS(Journal!$N:$N,Journal!$B:$B,TRUE,Journal!$D:$D,"ACHAT",Journal!$E:$E,A174)/SUMIFS(Journal!$K:$K,Journal!$B:$B,TRUE,Journal!$D:$D,"ACHAT",Journal!$E:$E,A174),"")</f>
        <v/>
      </c>
    </row>
    <row r="175">
      <c r="F175">
        <f>IFERROR(SUMIFS(Journal!$K:$K,Journal!$B:$B,TRUE,Journal!$E:$E,A175),0)</f>
        <v/>
      </c>
      <c r="G175">
        <f>IFERROR(INT(F175/E175),0)</f>
        <v/>
      </c>
      <c r="H175">
        <f>IFERROR(MOD(F175,E175),0)</f>
        <v/>
      </c>
      <c r="I175">
        <f>IFERROR(SUMIFS(Journal!$N:$N,Journal!$B:$B,TRUE,Journal!$D:$D,"ACHAT",Journal!$E:$E,A175)/SUMIFS(Journal!$K:$K,Journal!$B:$B,TRUE,Journal!$D:$D,"ACHAT",Journal!$E:$E,A175),"")</f>
        <v/>
      </c>
    </row>
    <row r="176">
      <c r="F176">
        <f>IFERROR(SUMIFS(Journal!$K:$K,Journal!$B:$B,TRUE,Journal!$E:$E,A176),0)</f>
        <v/>
      </c>
      <c r="G176">
        <f>IFERROR(INT(F176/E176),0)</f>
        <v/>
      </c>
      <c r="H176">
        <f>IFERROR(MOD(F176,E176),0)</f>
        <v/>
      </c>
      <c r="I176">
        <f>IFERROR(SUMIFS(Journal!$N:$N,Journal!$B:$B,TRUE,Journal!$D:$D,"ACHAT",Journal!$E:$E,A176)/SUMIFS(Journal!$K:$K,Journal!$B:$B,TRUE,Journal!$D:$D,"ACHAT",Journal!$E:$E,A176),"")</f>
        <v/>
      </c>
    </row>
    <row r="177">
      <c r="F177">
        <f>IFERROR(SUMIFS(Journal!$K:$K,Journal!$B:$B,TRUE,Journal!$E:$E,A177),0)</f>
        <v/>
      </c>
      <c r="G177">
        <f>IFERROR(INT(F177/E177),0)</f>
        <v/>
      </c>
      <c r="H177">
        <f>IFERROR(MOD(F177,E177),0)</f>
        <v/>
      </c>
      <c r="I177">
        <f>IFERROR(SUMIFS(Journal!$N:$N,Journal!$B:$B,TRUE,Journal!$D:$D,"ACHAT",Journal!$E:$E,A177)/SUMIFS(Journal!$K:$K,Journal!$B:$B,TRUE,Journal!$D:$D,"ACHAT",Journal!$E:$E,A177),"")</f>
        <v/>
      </c>
    </row>
    <row r="178">
      <c r="F178">
        <f>IFERROR(SUMIFS(Journal!$K:$K,Journal!$B:$B,TRUE,Journal!$E:$E,A178),0)</f>
        <v/>
      </c>
      <c r="G178">
        <f>IFERROR(INT(F178/E178),0)</f>
        <v/>
      </c>
      <c r="H178">
        <f>IFERROR(MOD(F178,E178),0)</f>
        <v/>
      </c>
      <c r="I178">
        <f>IFERROR(SUMIFS(Journal!$N:$N,Journal!$B:$B,TRUE,Journal!$D:$D,"ACHAT",Journal!$E:$E,A178)/SUMIFS(Journal!$K:$K,Journal!$B:$B,TRUE,Journal!$D:$D,"ACHAT",Journal!$E:$E,A178),"")</f>
        <v/>
      </c>
    </row>
    <row r="179">
      <c r="F179">
        <f>IFERROR(SUMIFS(Journal!$K:$K,Journal!$B:$B,TRUE,Journal!$E:$E,A179),0)</f>
        <v/>
      </c>
      <c r="G179">
        <f>IFERROR(INT(F179/E179),0)</f>
        <v/>
      </c>
      <c r="H179">
        <f>IFERROR(MOD(F179,E179),0)</f>
        <v/>
      </c>
      <c r="I179">
        <f>IFERROR(SUMIFS(Journal!$N:$N,Journal!$B:$B,TRUE,Journal!$D:$D,"ACHAT",Journal!$E:$E,A179)/SUMIFS(Journal!$K:$K,Journal!$B:$B,TRUE,Journal!$D:$D,"ACHAT",Journal!$E:$E,A179),"")</f>
        <v/>
      </c>
    </row>
    <row r="180">
      <c r="F180">
        <f>IFERROR(SUMIFS(Journal!$K:$K,Journal!$B:$B,TRUE,Journal!$E:$E,A180),0)</f>
        <v/>
      </c>
      <c r="G180">
        <f>IFERROR(INT(F180/E180),0)</f>
        <v/>
      </c>
      <c r="H180">
        <f>IFERROR(MOD(F180,E180),0)</f>
        <v/>
      </c>
      <c r="I180">
        <f>IFERROR(SUMIFS(Journal!$N:$N,Journal!$B:$B,TRUE,Journal!$D:$D,"ACHAT",Journal!$E:$E,A180)/SUMIFS(Journal!$K:$K,Journal!$B:$B,TRUE,Journal!$D:$D,"ACHAT",Journal!$E:$E,A180),"")</f>
        <v/>
      </c>
    </row>
    <row r="181">
      <c r="F181">
        <f>IFERROR(SUMIFS(Journal!$K:$K,Journal!$B:$B,TRUE,Journal!$E:$E,A181),0)</f>
        <v/>
      </c>
      <c r="G181">
        <f>IFERROR(INT(F181/E181),0)</f>
        <v/>
      </c>
      <c r="H181">
        <f>IFERROR(MOD(F181,E181),0)</f>
        <v/>
      </c>
      <c r="I181">
        <f>IFERROR(SUMIFS(Journal!$N:$N,Journal!$B:$B,TRUE,Journal!$D:$D,"ACHAT",Journal!$E:$E,A181)/SUMIFS(Journal!$K:$K,Journal!$B:$B,TRUE,Journal!$D:$D,"ACHAT",Journal!$E:$E,A181),"")</f>
        <v/>
      </c>
    </row>
    <row r="182">
      <c r="F182">
        <f>IFERROR(SUMIFS(Journal!$K:$K,Journal!$B:$B,TRUE,Journal!$E:$E,A182),0)</f>
        <v/>
      </c>
      <c r="G182">
        <f>IFERROR(INT(F182/E182),0)</f>
        <v/>
      </c>
      <c r="H182">
        <f>IFERROR(MOD(F182,E182),0)</f>
        <v/>
      </c>
      <c r="I182">
        <f>IFERROR(SUMIFS(Journal!$N:$N,Journal!$B:$B,TRUE,Journal!$D:$D,"ACHAT",Journal!$E:$E,A182)/SUMIFS(Journal!$K:$K,Journal!$B:$B,TRUE,Journal!$D:$D,"ACHAT",Journal!$E:$E,A182),"")</f>
        <v/>
      </c>
    </row>
    <row r="183">
      <c r="F183">
        <f>IFERROR(SUMIFS(Journal!$K:$K,Journal!$B:$B,TRUE,Journal!$E:$E,A183),0)</f>
        <v/>
      </c>
      <c r="G183">
        <f>IFERROR(INT(F183/E183),0)</f>
        <v/>
      </c>
      <c r="H183">
        <f>IFERROR(MOD(F183,E183),0)</f>
        <v/>
      </c>
      <c r="I183">
        <f>IFERROR(SUMIFS(Journal!$N:$N,Journal!$B:$B,TRUE,Journal!$D:$D,"ACHAT",Journal!$E:$E,A183)/SUMIFS(Journal!$K:$K,Journal!$B:$B,TRUE,Journal!$D:$D,"ACHAT",Journal!$E:$E,A183),"")</f>
        <v/>
      </c>
    </row>
    <row r="184">
      <c r="F184">
        <f>IFERROR(SUMIFS(Journal!$K:$K,Journal!$B:$B,TRUE,Journal!$E:$E,A184),0)</f>
        <v/>
      </c>
      <c r="G184">
        <f>IFERROR(INT(F184/E184),0)</f>
        <v/>
      </c>
      <c r="H184">
        <f>IFERROR(MOD(F184,E184),0)</f>
        <v/>
      </c>
      <c r="I184">
        <f>IFERROR(SUMIFS(Journal!$N:$N,Journal!$B:$B,TRUE,Journal!$D:$D,"ACHAT",Journal!$E:$E,A184)/SUMIFS(Journal!$K:$K,Journal!$B:$B,TRUE,Journal!$D:$D,"ACHAT",Journal!$E:$E,A184),"")</f>
        <v/>
      </c>
    </row>
    <row r="185">
      <c r="F185">
        <f>IFERROR(SUMIFS(Journal!$K:$K,Journal!$B:$B,TRUE,Journal!$E:$E,A185),0)</f>
        <v/>
      </c>
      <c r="G185">
        <f>IFERROR(INT(F185/E185),0)</f>
        <v/>
      </c>
      <c r="H185">
        <f>IFERROR(MOD(F185,E185),0)</f>
        <v/>
      </c>
      <c r="I185">
        <f>IFERROR(SUMIFS(Journal!$N:$N,Journal!$B:$B,TRUE,Journal!$D:$D,"ACHAT",Journal!$E:$E,A185)/SUMIFS(Journal!$K:$K,Journal!$B:$B,TRUE,Journal!$D:$D,"ACHAT",Journal!$E:$E,A185),"")</f>
        <v/>
      </c>
    </row>
    <row r="186">
      <c r="F186">
        <f>IFERROR(SUMIFS(Journal!$K:$K,Journal!$B:$B,TRUE,Journal!$E:$E,A186),0)</f>
        <v/>
      </c>
      <c r="G186">
        <f>IFERROR(INT(F186/E186),0)</f>
        <v/>
      </c>
      <c r="H186">
        <f>IFERROR(MOD(F186,E186),0)</f>
        <v/>
      </c>
      <c r="I186">
        <f>IFERROR(SUMIFS(Journal!$N:$N,Journal!$B:$B,TRUE,Journal!$D:$D,"ACHAT",Journal!$E:$E,A186)/SUMIFS(Journal!$K:$K,Journal!$B:$B,TRUE,Journal!$D:$D,"ACHAT",Journal!$E:$E,A186),"")</f>
        <v/>
      </c>
    </row>
    <row r="187">
      <c r="F187">
        <f>IFERROR(SUMIFS(Journal!$K:$K,Journal!$B:$B,TRUE,Journal!$E:$E,A187),0)</f>
        <v/>
      </c>
      <c r="G187">
        <f>IFERROR(INT(F187/E187),0)</f>
        <v/>
      </c>
      <c r="H187">
        <f>IFERROR(MOD(F187,E187),0)</f>
        <v/>
      </c>
      <c r="I187">
        <f>IFERROR(SUMIFS(Journal!$N:$N,Journal!$B:$B,TRUE,Journal!$D:$D,"ACHAT",Journal!$E:$E,A187)/SUMIFS(Journal!$K:$K,Journal!$B:$B,TRUE,Journal!$D:$D,"ACHAT",Journal!$E:$E,A187),"")</f>
        <v/>
      </c>
    </row>
    <row r="188">
      <c r="F188">
        <f>IFERROR(SUMIFS(Journal!$K:$K,Journal!$B:$B,TRUE,Journal!$E:$E,A188),0)</f>
        <v/>
      </c>
      <c r="G188">
        <f>IFERROR(INT(F188/E188),0)</f>
        <v/>
      </c>
      <c r="H188">
        <f>IFERROR(MOD(F188,E188),0)</f>
        <v/>
      </c>
      <c r="I188">
        <f>IFERROR(SUMIFS(Journal!$N:$N,Journal!$B:$B,TRUE,Journal!$D:$D,"ACHAT",Journal!$E:$E,A188)/SUMIFS(Journal!$K:$K,Journal!$B:$B,TRUE,Journal!$D:$D,"ACHAT",Journal!$E:$E,A188),"")</f>
        <v/>
      </c>
    </row>
    <row r="189">
      <c r="F189">
        <f>IFERROR(SUMIFS(Journal!$K:$K,Journal!$B:$B,TRUE,Journal!$E:$E,A189),0)</f>
        <v/>
      </c>
      <c r="G189">
        <f>IFERROR(INT(F189/E189),0)</f>
        <v/>
      </c>
      <c r="H189">
        <f>IFERROR(MOD(F189,E189),0)</f>
        <v/>
      </c>
      <c r="I189">
        <f>IFERROR(SUMIFS(Journal!$N:$N,Journal!$B:$B,TRUE,Journal!$D:$D,"ACHAT",Journal!$E:$E,A189)/SUMIFS(Journal!$K:$K,Journal!$B:$B,TRUE,Journal!$D:$D,"ACHAT",Journal!$E:$E,A189),"")</f>
        <v/>
      </c>
    </row>
    <row r="190">
      <c r="F190">
        <f>IFERROR(SUMIFS(Journal!$K:$K,Journal!$B:$B,TRUE,Journal!$E:$E,A190),0)</f>
        <v/>
      </c>
      <c r="G190">
        <f>IFERROR(INT(F190/E190),0)</f>
        <v/>
      </c>
      <c r="H190">
        <f>IFERROR(MOD(F190,E190),0)</f>
        <v/>
      </c>
      <c r="I190">
        <f>IFERROR(SUMIFS(Journal!$N:$N,Journal!$B:$B,TRUE,Journal!$D:$D,"ACHAT",Journal!$E:$E,A190)/SUMIFS(Journal!$K:$K,Journal!$B:$B,TRUE,Journal!$D:$D,"ACHAT",Journal!$E:$E,A190),"")</f>
        <v/>
      </c>
    </row>
    <row r="191">
      <c r="F191">
        <f>IFERROR(SUMIFS(Journal!$K:$K,Journal!$B:$B,TRUE,Journal!$E:$E,A191),0)</f>
        <v/>
      </c>
      <c r="G191">
        <f>IFERROR(INT(F191/E191),0)</f>
        <v/>
      </c>
      <c r="H191">
        <f>IFERROR(MOD(F191,E191),0)</f>
        <v/>
      </c>
      <c r="I191">
        <f>IFERROR(SUMIFS(Journal!$N:$N,Journal!$B:$B,TRUE,Journal!$D:$D,"ACHAT",Journal!$E:$E,A191)/SUMIFS(Journal!$K:$K,Journal!$B:$B,TRUE,Journal!$D:$D,"ACHAT",Journal!$E:$E,A191),"")</f>
        <v/>
      </c>
    </row>
    <row r="192">
      <c r="F192">
        <f>IFERROR(SUMIFS(Journal!$K:$K,Journal!$B:$B,TRUE,Journal!$E:$E,A192),0)</f>
        <v/>
      </c>
      <c r="G192">
        <f>IFERROR(INT(F192/E192),0)</f>
        <v/>
      </c>
      <c r="H192">
        <f>IFERROR(MOD(F192,E192),0)</f>
        <v/>
      </c>
      <c r="I192">
        <f>IFERROR(SUMIFS(Journal!$N:$N,Journal!$B:$B,TRUE,Journal!$D:$D,"ACHAT",Journal!$E:$E,A192)/SUMIFS(Journal!$K:$K,Journal!$B:$B,TRUE,Journal!$D:$D,"ACHAT",Journal!$E:$E,A192),"")</f>
        <v/>
      </c>
    </row>
    <row r="193">
      <c r="F193">
        <f>IFERROR(SUMIFS(Journal!$K:$K,Journal!$B:$B,TRUE,Journal!$E:$E,A193),0)</f>
        <v/>
      </c>
      <c r="G193">
        <f>IFERROR(INT(F193/E193),0)</f>
        <v/>
      </c>
      <c r="H193">
        <f>IFERROR(MOD(F193,E193),0)</f>
        <v/>
      </c>
      <c r="I193">
        <f>IFERROR(SUMIFS(Journal!$N:$N,Journal!$B:$B,TRUE,Journal!$D:$D,"ACHAT",Journal!$E:$E,A193)/SUMIFS(Journal!$K:$K,Journal!$B:$B,TRUE,Journal!$D:$D,"ACHAT",Journal!$E:$E,A193),"")</f>
        <v/>
      </c>
    </row>
    <row r="194">
      <c r="F194">
        <f>IFERROR(SUMIFS(Journal!$K:$K,Journal!$B:$B,TRUE,Journal!$E:$E,A194),0)</f>
        <v/>
      </c>
      <c r="G194">
        <f>IFERROR(INT(F194/E194),0)</f>
        <v/>
      </c>
      <c r="H194">
        <f>IFERROR(MOD(F194,E194),0)</f>
        <v/>
      </c>
      <c r="I194">
        <f>IFERROR(SUMIFS(Journal!$N:$N,Journal!$B:$B,TRUE,Journal!$D:$D,"ACHAT",Journal!$E:$E,A194)/SUMIFS(Journal!$K:$K,Journal!$B:$B,TRUE,Journal!$D:$D,"ACHAT",Journal!$E:$E,A194),"")</f>
        <v/>
      </c>
    </row>
    <row r="195">
      <c r="F195">
        <f>IFERROR(SUMIFS(Journal!$K:$K,Journal!$B:$B,TRUE,Journal!$E:$E,A195),0)</f>
        <v/>
      </c>
      <c r="G195">
        <f>IFERROR(INT(F195/E195),0)</f>
        <v/>
      </c>
      <c r="H195">
        <f>IFERROR(MOD(F195,E195),0)</f>
        <v/>
      </c>
      <c r="I195">
        <f>IFERROR(SUMIFS(Journal!$N:$N,Journal!$B:$B,TRUE,Journal!$D:$D,"ACHAT",Journal!$E:$E,A195)/SUMIFS(Journal!$K:$K,Journal!$B:$B,TRUE,Journal!$D:$D,"ACHAT",Journal!$E:$E,A195),"")</f>
        <v/>
      </c>
    </row>
    <row r="196">
      <c r="F196">
        <f>IFERROR(SUMIFS(Journal!$K:$K,Journal!$B:$B,TRUE,Journal!$E:$E,A196),0)</f>
        <v/>
      </c>
      <c r="G196">
        <f>IFERROR(INT(F196/E196),0)</f>
        <v/>
      </c>
      <c r="H196">
        <f>IFERROR(MOD(F196,E196),0)</f>
        <v/>
      </c>
      <c r="I196">
        <f>IFERROR(SUMIFS(Journal!$N:$N,Journal!$B:$B,TRUE,Journal!$D:$D,"ACHAT",Journal!$E:$E,A196)/SUMIFS(Journal!$K:$K,Journal!$B:$B,TRUE,Journal!$D:$D,"ACHAT",Journal!$E:$E,A196),"")</f>
        <v/>
      </c>
    </row>
    <row r="197">
      <c r="F197">
        <f>IFERROR(SUMIFS(Journal!$K:$K,Journal!$B:$B,TRUE,Journal!$E:$E,A197),0)</f>
        <v/>
      </c>
      <c r="G197">
        <f>IFERROR(INT(F197/E197),0)</f>
        <v/>
      </c>
      <c r="H197">
        <f>IFERROR(MOD(F197,E197),0)</f>
        <v/>
      </c>
      <c r="I197">
        <f>IFERROR(SUMIFS(Journal!$N:$N,Journal!$B:$B,TRUE,Journal!$D:$D,"ACHAT",Journal!$E:$E,A197)/SUMIFS(Journal!$K:$K,Journal!$B:$B,TRUE,Journal!$D:$D,"ACHAT",Journal!$E:$E,A197),"")</f>
        <v/>
      </c>
    </row>
    <row r="198">
      <c r="F198">
        <f>IFERROR(SUMIFS(Journal!$K:$K,Journal!$B:$B,TRUE,Journal!$E:$E,A198),0)</f>
        <v/>
      </c>
      <c r="G198">
        <f>IFERROR(INT(F198/E198),0)</f>
        <v/>
      </c>
      <c r="H198">
        <f>IFERROR(MOD(F198,E198),0)</f>
        <v/>
      </c>
      <c r="I198">
        <f>IFERROR(SUMIFS(Journal!$N:$N,Journal!$B:$B,TRUE,Journal!$D:$D,"ACHAT",Journal!$E:$E,A198)/SUMIFS(Journal!$K:$K,Journal!$B:$B,TRUE,Journal!$D:$D,"ACHAT",Journal!$E:$E,A198),"")</f>
        <v/>
      </c>
    </row>
    <row r="199">
      <c r="F199">
        <f>IFERROR(SUMIFS(Journal!$K:$K,Journal!$B:$B,TRUE,Journal!$E:$E,A199),0)</f>
        <v/>
      </c>
      <c r="G199">
        <f>IFERROR(INT(F199/E199),0)</f>
        <v/>
      </c>
      <c r="H199">
        <f>IFERROR(MOD(F199,E199),0)</f>
        <v/>
      </c>
      <c r="I199">
        <f>IFERROR(SUMIFS(Journal!$N:$N,Journal!$B:$B,TRUE,Journal!$D:$D,"ACHAT",Journal!$E:$E,A199)/SUMIFS(Journal!$K:$K,Journal!$B:$B,TRUE,Journal!$D:$D,"ACHAT",Journal!$E:$E,A199),"")</f>
        <v/>
      </c>
    </row>
    <row r="200">
      <c r="F200">
        <f>IFERROR(SUMIFS(Journal!$K:$K,Journal!$B:$B,TRUE,Journal!$E:$E,A200),0)</f>
        <v/>
      </c>
      <c r="G200">
        <f>IFERROR(INT(F200/E200),0)</f>
        <v/>
      </c>
      <c r="H200">
        <f>IFERROR(MOD(F200,E200),0)</f>
        <v/>
      </c>
      <c r="I200">
        <f>IFERROR(SUMIFS(Journal!$N:$N,Journal!$B:$B,TRUE,Journal!$D:$D,"ACHAT",Journal!$E:$E,A200)/SUMIFS(Journal!$K:$K,Journal!$B:$B,TRUE,Journal!$D:$D,"ACHAT",Journal!$E:$E,A200),"")</f>
        <v/>
      </c>
    </row>
    <row r="201">
      <c r="F201">
        <f>IFERROR(SUMIFS(Journal!$K:$K,Journal!$B:$B,TRUE,Journal!$E:$E,A201),0)</f>
        <v/>
      </c>
      <c r="G201">
        <f>IFERROR(INT(F201/E201),0)</f>
        <v/>
      </c>
      <c r="H201">
        <f>IFERROR(MOD(F201,E201),0)</f>
        <v/>
      </c>
      <c r="I201">
        <f>IFERROR(SUMIFS(Journal!$N:$N,Journal!$B:$B,TRUE,Journal!$D:$D,"ACHAT",Journal!$E:$E,A201)/SUMIFS(Journal!$K:$K,Journal!$B:$B,TRUE,Journal!$D:$D,"ACHAT",Journal!$E:$E,A201),"")</f>
        <v/>
      </c>
    </row>
    <row r="202">
      <c r="F202">
        <f>IFERROR(SUMIFS(Journal!$K:$K,Journal!$B:$B,TRUE,Journal!$E:$E,A202),0)</f>
        <v/>
      </c>
      <c r="G202">
        <f>IFERROR(INT(F202/E202),0)</f>
        <v/>
      </c>
      <c r="H202">
        <f>IFERROR(MOD(F202,E202),0)</f>
        <v/>
      </c>
      <c r="I202">
        <f>IFERROR(SUMIFS(Journal!$N:$N,Journal!$B:$B,TRUE,Journal!$D:$D,"ACHAT",Journal!$E:$E,A202)/SUMIFS(Journal!$K:$K,Journal!$B:$B,TRUE,Journal!$D:$D,"ACHAT",Journal!$E:$E,A202),"")</f>
        <v/>
      </c>
    </row>
    <row r="203">
      <c r="F203">
        <f>IFERROR(SUMIFS(Journal!$K:$K,Journal!$B:$B,TRUE,Journal!$E:$E,A203),0)</f>
        <v/>
      </c>
      <c r="G203">
        <f>IFERROR(INT(F203/E203),0)</f>
        <v/>
      </c>
      <c r="H203">
        <f>IFERROR(MOD(F203,E203),0)</f>
        <v/>
      </c>
      <c r="I203">
        <f>IFERROR(SUMIFS(Journal!$N:$N,Journal!$B:$B,TRUE,Journal!$D:$D,"ACHAT",Journal!$E:$E,A203)/SUMIFS(Journal!$K:$K,Journal!$B:$B,TRUE,Journal!$D:$D,"ACHAT",Journal!$E:$E,A203),"")</f>
        <v/>
      </c>
    </row>
    <row r="204">
      <c r="F204">
        <f>IFERROR(SUMIFS(Journal!$K:$K,Journal!$B:$B,TRUE,Journal!$E:$E,A204),0)</f>
        <v/>
      </c>
      <c r="G204">
        <f>IFERROR(INT(F204/E204),0)</f>
        <v/>
      </c>
      <c r="H204">
        <f>IFERROR(MOD(F204,E204),0)</f>
        <v/>
      </c>
      <c r="I204">
        <f>IFERROR(SUMIFS(Journal!$N:$N,Journal!$B:$B,TRUE,Journal!$D:$D,"ACHAT",Journal!$E:$E,A204)/SUMIFS(Journal!$K:$K,Journal!$B:$B,TRUE,Journal!$D:$D,"ACHAT",Journal!$E:$E,A204),"")</f>
        <v/>
      </c>
    </row>
    <row r="205">
      <c r="F205">
        <f>IFERROR(SUMIFS(Journal!$K:$K,Journal!$B:$B,TRUE,Journal!$E:$E,A205),0)</f>
        <v/>
      </c>
      <c r="G205">
        <f>IFERROR(INT(F205/E205),0)</f>
        <v/>
      </c>
      <c r="H205">
        <f>IFERROR(MOD(F205,E205),0)</f>
        <v/>
      </c>
      <c r="I205">
        <f>IFERROR(SUMIFS(Journal!$N:$N,Journal!$B:$B,TRUE,Journal!$D:$D,"ACHAT",Journal!$E:$E,A205)/SUMIFS(Journal!$K:$K,Journal!$B:$B,TRUE,Journal!$D:$D,"ACHAT",Journal!$E:$E,A205),"")</f>
        <v/>
      </c>
    </row>
    <row r="206">
      <c r="F206">
        <f>IFERROR(SUMIFS(Journal!$K:$K,Journal!$B:$B,TRUE,Journal!$E:$E,A206),0)</f>
        <v/>
      </c>
      <c r="G206">
        <f>IFERROR(INT(F206/E206),0)</f>
        <v/>
      </c>
      <c r="H206">
        <f>IFERROR(MOD(F206,E206),0)</f>
        <v/>
      </c>
      <c r="I206">
        <f>IFERROR(SUMIFS(Journal!$N:$N,Journal!$B:$B,TRUE,Journal!$D:$D,"ACHAT",Journal!$E:$E,A206)/SUMIFS(Journal!$K:$K,Journal!$B:$B,TRUE,Journal!$D:$D,"ACHAT",Journal!$E:$E,A206),"")</f>
        <v/>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3"/>
  <sheetViews>
    <sheetView workbookViewId="0">
      <selection activeCell="A1" sqref="A1"/>
    </sheetView>
  </sheetViews>
  <sheetFormatPr baseColWidth="8" defaultRowHeight="15"/>
  <cols>
    <col width="10" customWidth="1" min="1" max="1"/>
    <col width="8" customWidth="1" min="2" max="2"/>
    <col width="12" customWidth="1" min="3" max="3"/>
    <col width="12" customWidth="1" min="4" max="4"/>
    <col width="14" customWidth="1" min="5" max="5"/>
    <col width="14" customWidth="1" min="6" max="6"/>
    <col width="22" customWidth="1" min="7" max="7"/>
    <col width="12" customWidth="1" min="8" max="8"/>
    <col width="14" customWidth="1" min="9" max="9"/>
    <col width="14" customWidth="1" min="10" max="10"/>
    <col width="14" customWidth="1" min="11" max="11"/>
    <col width="14" customWidth="1" min="12" max="12"/>
    <col width="16" customWidth="1" min="13" max="13"/>
    <col width="16" customWidth="1" min="14" max="14"/>
    <col width="16" customWidth="1" min="15" max="15"/>
    <col width="16" customWidth="1" min="16" max="16"/>
    <col width="26" customWidth="1" min="17" max="17"/>
  </cols>
  <sheetData>
    <row r="1">
      <c r="A1" s="1" t="inlineStr">
        <is>
          <t>📒 JOURNAL — 1 ligne = 1 mouvement. Colonne 'Actif' permet d'annuler ET de rétablir une annulation.</t>
        </is>
      </c>
    </row>
    <row r="2">
      <c r="A2" s="2" t="inlineStr">
        <is>
          <t>Saisie (vert) : Actif, Date, Type, Produit (PID), Lots, Unités/lot, Unités (saisie), Prix achat lot, Prix vente unitaire, Note. Le reste est calculé.</t>
        </is>
      </c>
    </row>
    <row r="3">
      <c r="A3" s="3" t="inlineStr">
        <is>
          <t>MID</t>
        </is>
      </c>
      <c r="B3" s="3" t="inlineStr">
        <is>
          <t>Actif</t>
        </is>
      </c>
      <c r="C3" s="3" t="inlineStr">
        <is>
          <t>Date</t>
        </is>
      </c>
      <c r="D3" s="3" t="inlineStr">
        <is>
          <t>Type</t>
        </is>
      </c>
      <c r="E3" s="3" t="inlineStr">
        <is>
          <t>PID produit</t>
        </is>
      </c>
      <c r="F3" s="3" t="inlineStr">
        <is>
          <t>ID affiché</t>
        </is>
      </c>
      <c r="G3" s="3" t="inlineStr">
        <is>
          <t>Nom</t>
        </is>
      </c>
      <c r="H3" s="3" t="inlineStr">
        <is>
          <t>Lots (achat)</t>
        </is>
      </c>
      <c r="I3" s="3" t="inlineStr">
        <is>
          <t>Unités/lot (achat)</t>
        </is>
      </c>
      <c r="J3" s="3" t="inlineStr">
        <is>
          <t>Unités (saisie)</t>
        </is>
      </c>
      <c r="K3" s="3" t="inlineStr">
        <is>
          <t>Qty unités (calc)</t>
        </is>
      </c>
      <c r="L3" s="3" t="inlineStr">
        <is>
          <t>Prix achat lot (€)</t>
        </is>
      </c>
      <c r="M3" s="3" t="inlineStr">
        <is>
          <t>Prix achat unit (€)</t>
        </is>
      </c>
      <c r="N3" s="3" t="inlineStr">
        <is>
          <t>Montant achat (€)</t>
        </is>
      </c>
      <c r="O3" s="3" t="inlineStr">
        <is>
          <t>Prix vente unit (€)</t>
        </is>
      </c>
      <c r="P3" s="3" t="inlineStr">
        <is>
          <t>Montant vente (€)</t>
        </is>
      </c>
      <c r="Q3" s="3" t="inlineStr">
        <is>
          <t>Note</t>
        </is>
      </c>
    </row>
    <row r="4">
      <c r="A4" t="inlineStr">
        <is>
          <t>M000001</t>
        </is>
      </c>
      <c r="B4" s="4" t="b">
        <v>1</v>
      </c>
      <c r="C4" s="4" t="inlineStr">
        <is>
          <t>2025-08-20</t>
        </is>
      </c>
      <c r="D4" s="4" t="inlineStr">
        <is>
          <t>DEPENSE</t>
        </is>
      </c>
      <c r="E4" s="4" t="inlineStr"/>
      <c r="F4" s="5">
        <f>IF(E4="","",VLOOKUP(E4,Produits!$A:$J,2,FALSE))</f>
        <v/>
      </c>
      <c r="G4" s="5">
        <f>IF(E4="","",VLOOKUP(E4,Produits!$A:$J,3,FALSE))</f>
        <v/>
      </c>
      <c r="H4" s="4" t="inlineStr"/>
      <c r="I4" s="4" t="inlineStr"/>
      <c r="J4" s="4" t="inlineStr"/>
      <c r="K4" s="5">
        <f>IF(B4=FALSE,"",IF(D4="ACHAT",IF(AND(H4&lt;&gt;"",I4&lt;&gt;""),H4*I4,J4),IF(OR(D4="VENTE",D4="PERTE"),-ABS(J4),IF(D4="AJUSTEMENT",J4,""))))</f>
        <v/>
      </c>
      <c r="L4" s="4" t="inlineStr"/>
      <c r="M4" s="5">
        <f>IF(OR(L4="",I4=""),"",L4/I4)</f>
        <v/>
      </c>
      <c r="N4" s="5">
        <f>IF(D4&lt;&gt;"ACHAT","",K4*M4)</f>
        <v/>
      </c>
      <c r="O4" s="4" t="inlineStr"/>
      <c r="P4" s="5">
        <f>IF(D4&lt;&gt;"VENTE","",ABS(K4)*O4)</f>
        <v/>
      </c>
      <c r="Q4" s="4" t="inlineStr">
        <is>
          <t>Longer Ray5 20w</t>
        </is>
      </c>
    </row>
    <row r="5">
      <c r="A5" t="inlineStr">
        <is>
          <t>M000002</t>
        </is>
      </c>
      <c r="B5" s="4" t="b">
        <v>1</v>
      </c>
      <c r="C5" s="4" t="inlineStr">
        <is>
          <t>2025-08-20</t>
        </is>
      </c>
      <c r="D5" s="4" t="inlineStr">
        <is>
          <t>DEPENSE</t>
        </is>
      </c>
      <c r="E5" s="4" t="inlineStr"/>
      <c r="F5" s="5">
        <f>IF(E5="","",VLOOKUP(E5,Produits!$A:$J,2,FALSE))</f>
        <v/>
      </c>
      <c r="G5" s="5">
        <f>IF(E5="","",VLOOKUP(E5,Produits!$A:$J,3,FALSE))</f>
        <v/>
      </c>
      <c r="H5" s="4" t="inlineStr"/>
      <c r="I5" s="4" t="inlineStr"/>
      <c r="J5" s="4" t="inlineStr"/>
      <c r="K5" s="5">
        <f>IF(B5=FALSE,"",IF(D5="ACHAT",IF(AND(H5&lt;&gt;"",I5&lt;&gt;""),H5*I5,J5),IF(OR(D5="VENTE",D5="PERTE"),-ABS(J5),IF(D5="AJUSTEMENT",J5,""))))</f>
        <v/>
      </c>
      <c r="L5" s="4" t="inlineStr"/>
      <c r="M5" s="5">
        <f>IF(OR(L5="",I5=""),"",L5/I5)</f>
        <v/>
      </c>
      <c r="N5" s="5">
        <f>IF(D5&lt;&gt;"ACHAT","",K5*M5)</f>
        <v/>
      </c>
      <c r="O5" s="4" t="inlineStr"/>
      <c r="P5" s="5">
        <f>IF(D5&lt;&gt;"VENTE","",ABS(K5)*O5)</f>
        <v/>
      </c>
      <c r="Q5" s="4" t="inlineStr">
        <is>
          <t>Pompe à air</t>
        </is>
      </c>
    </row>
    <row r="6">
      <c r="A6" t="inlineStr">
        <is>
          <t>M000003</t>
        </is>
      </c>
      <c r="B6" s="4" t="b">
        <v>1</v>
      </c>
      <c r="C6" s="4" t="inlineStr">
        <is>
          <t>2025-10-14</t>
        </is>
      </c>
      <c r="D6" s="4" t="inlineStr">
        <is>
          <t>DEPENSE</t>
        </is>
      </c>
      <c r="E6" s="4" t="inlineStr"/>
      <c r="F6" s="5">
        <f>IF(E6="","",VLOOKUP(E6,Produits!$A:$J,2,FALSE))</f>
        <v/>
      </c>
      <c r="G6" s="5">
        <f>IF(E6="","",VLOOKUP(E6,Produits!$A:$J,3,FALSE))</f>
        <v/>
      </c>
      <c r="H6" s="4" t="inlineStr"/>
      <c r="I6" s="4" t="inlineStr"/>
      <c r="J6" s="4" t="inlineStr"/>
      <c r="K6" s="5">
        <f>IF(B6=FALSE,"",IF(D6="ACHAT",IF(AND(H6&lt;&gt;"",I6&lt;&gt;""),H6*I6,J6),IF(OR(D6="VENTE",D6="PERTE"),-ABS(J6),IF(D6="AJUSTEMENT",J6,""))))</f>
        <v/>
      </c>
      <c r="L6" s="4" t="inlineStr"/>
      <c r="M6" s="5">
        <f>IF(OR(L6="",I6=""),"",L6/I6)</f>
        <v/>
      </c>
      <c r="N6" s="5">
        <f>IF(D6&lt;&gt;"ACHAT","",K6*M6)</f>
        <v/>
      </c>
      <c r="O6" s="4" t="inlineStr"/>
      <c r="P6" s="5">
        <f>IF(D6&lt;&gt;"VENTE","",ABS(K6)*O6)</f>
        <v/>
      </c>
      <c r="Q6" s="4" t="inlineStr">
        <is>
          <t>Table nid d'abeille</t>
        </is>
      </c>
    </row>
    <row r="7">
      <c r="A7" t="inlineStr">
        <is>
          <t>M000004</t>
        </is>
      </c>
      <c r="B7" s="4" t="b">
        <v>1</v>
      </c>
      <c r="C7" s="4" t="inlineStr">
        <is>
          <t>2025-09-11</t>
        </is>
      </c>
      <c r="D7" s="4" t="inlineStr">
        <is>
          <t>ACHAT</t>
        </is>
      </c>
      <c r="E7" s="4" t="inlineStr">
        <is>
          <t>P69BCEF762C</t>
        </is>
      </c>
      <c r="F7" s="5">
        <f>IF(E7="","",VLOOKUP(E7,Produits!$A:$J,2,FALSE))</f>
        <v/>
      </c>
      <c r="G7" s="5">
        <f>IF(E7="","",VLOOKUP(E7,Produits!$A:$J,3,FALSE))</f>
        <v/>
      </c>
      <c r="H7" s="4" t="n">
        <v>0</v>
      </c>
      <c r="I7" s="4" t="n">
        <v>0</v>
      </c>
      <c r="J7" s="4" t="n">
        <v>12</v>
      </c>
      <c r="K7" s="5">
        <f>IF(B7=FALSE,"",IF(D7="ACHAT",IF(AND(H7&lt;&gt;"",I7&lt;&gt;""),H7*I7,J7),IF(OR(D7="VENTE",D7="PERTE"),-ABS(J7),IF(D7="AJUSTEMENT",J7,""))))</f>
        <v/>
      </c>
      <c r="L7" s="4" t="n">
        <v>13.99</v>
      </c>
      <c r="M7" s="5">
        <f>IF(OR(L7="",I7=""),"",L7/I7)</f>
        <v/>
      </c>
      <c r="N7" s="5">
        <f>IF(D7&lt;&gt;"ACHAT","",K7*M7)</f>
        <v/>
      </c>
      <c r="O7" s="4" t="inlineStr"/>
      <c r="P7" s="5">
        <f>IF(D7&lt;&gt;"VENTE","",ABS(K7)*O7)</f>
        <v/>
      </c>
      <c r="Q7" s="4" t="inlineStr"/>
    </row>
    <row r="8">
      <c r="A8" t="inlineStr">
        <is>
          <t>M000005</t>
        </is>
      </c>
      <c r="B8" s="4" t="b">
        <v>1</v>
      </c>
      <c r="C8" s="4" t="inlineStr">
        <is>
          <t>2025-10-29</t>
        </is>
      </c>
      <c r="D8" s="4" t="inlineStr">
        <is>
          <t>ACHAT</t>
        </is>
      </c>
      <c r="E8" s="4" t="inlineStr">
        <is>
          <t>P6B0BD97B79</t>
        </is>
      </c>
      <c r="F8" s="5">
        <f>IF(E8="","",VLOOKUP(E8,Produits!$A:$J,2,FALSE))</f>
        <v/>
      </c>
      <c r="G8" s="5">
        <f>IF(E8="","",VLOOKUP(E8,Produits!$A:$J,3,FALSE))</f>
        <v/>
      </c>
      <c r="H8" s="4" t="n">
        <v>0</v>
      </c>
      <c r="I8" s="4" t="n">
        <v>0</v>
      </c>
      <c r="J8" s="4" t="n">
        <v>20</v>
      </c>
      <c r="K8" s="5">
        <f>IF(B8=FALSE,"",IF(D8="ACHAT",IF(AND(H8&lt;&gt;"",I8&lt;&gt;""),H8*I8,J8),IF(OR(D8="VENTE",D8="PERTE"),-ABS(J8),IF(D8="AJUSTEMENT",J8,""))))</f>
        <v/>
      </c>
      <c r="L8" s="4" t="n">
        <v>28.58</v>
      </c>
      <c r="M8" s="5">
        <f>IF(OR(L8="",I8=""),"",L8/I8)</f>
        <v/>
      </c>
      <c r="N8" s="5">
        <f>IF(D8&lt;&gt;"ACHAT","",K8*M8)</f>
        <v/>
      </c>
      <c r="O8" s="4" t="inlineStr"/>
      <c r="P8" s="5">
        <f>IF(D8&lt;&gt;"VENTE","",ABS(K8)*O8)</f>
        <v/>
      </c>
      <c r="Q8" s="4" t="inlineStr"/>
    </row>
    <row r="9">
      <c r="A9" t="inlineStr">
        <is>
          <t>M000006</t>
        </is>
      </c>
      <c r="B9" s="4" t="b">
        <v>1</v>
      </c>
      <c r="C9" s="4" t="inlineStr">
        <is>
          <t>2026-01-11</t>
        </is>
      </c>
      <c r="D9" s="4" t="inlineStr">
        <is>
          <t>ACHAT</t>
        </is>
      </c>
      <c r="E9" s="4" t="inlineStr">
        <is>
          <t>P8B70051EAB</t>
        </is>
      </c>
      <c r="F9" s="5">
        <f>IF(E9="","",VLOOKUP(E9,Produits!$A:$J,2,FALSE))</f>
        <v/>
      </c>
      <c r="G9" s="5">
        <f>IF(E9="","",VLOOKUP(E9,Produits!$A:$J,3,FALSE))</f>
        <v/>
      </c>
      <c r="H9" s="4" t="n">
        <v>0</v>
      </c>
      <c r="I9" s="4" t="n">
        <v>0</v>
      </c>
      <c r="J9" s="4" t="n">
        <v>16</v>
      </c>
      <c r="K9" s="5">
        <f>IF(B9=FALSE,"",IF(D9="ACHAT",IF(AND(H9&lt;&gt;"",I9&lt;&gt;""),H9*I9,J9),IF(OR(D9="VENTE",D9="PERTE"),-ABS(J9),IF(D9="AJUSTEMENT",J9,""))))</f>
        <v/>
      </c>
      <c r="L9" s="4" t="n">
        <v>18.98</v>
      </c>
      <c r="M9" s="5">
        <f>IF(OR(L9="",I9=""),"",L9/I9)</f>
        <v/>
      </c>
      <c r="N9" s="5">
        <f>IF(D9&lt;&gt;"ACHAT","",K9*M9)</f>
        <v/>
      </c>
      <c r="O9" s="4" t="inlineStr"/>
      <c r="P9" s="5">
        <f>IF(D9&lt;&gt;"VENTE","",ABS(K9)*O9)</f>
        <v/>
      </c>
      <c r="Q9" s="4" t="inlineStr"/>
    </row>
    <row r="10">
      <c r="A10" t="inlineStr">
        <is>
          <t>M000007</t>
        </is>
      </c>
      <c r="B10" s="4" t="b">
        <v>1</v>
      </c>
      <c r="C10" s="4" t="inlineStr">
        <is>
          <t>2026-01-11</t>
        </is>
      </c>
      <c r="D10" s="4" t="inlineStr">
        <is>
          <t>ACHAT</t>
        </is>
      </c>
      <c r="E10" s="4" t="inlineStr">
        <is>
          <t>P69BCEF762C</t>
        </is>
      </c>
      <c r="F10" s="5">
        <f>IF(E10="","",VLOOKUP(E10,Produits!$A:$J,2,FALSE))</f>
        <v/>
      </c>
      <c r="G10" s="5">
        <f>IF(E10="","",VLOOKUP(E10,Produits!$A:$J,3,FALSE))</f>
        <v/>
      </c>
      <c r="H10" s="4" t="n">
        <v>0</v>
      </c>
      <c r="I10" s="4" t="n">
        <v>0</v>
      </c>
      <c r="J10" s="4" t="n">
        <v>24</v>
      </c>
      <c r="K10" s="5">
        <f>IF(B10=FALSE,"",IF(D10="ACHAT",IF(AND(H10&lt;&gt;"",I10&lt;&gt;""),H10*I10,J10),IF(OR(D10="VENTE",D10="PERTE"),-ABS(J10),IF(D10="AJUSTEMENT",J10,""))))</f>
        <v/>
      </c>
      <c r="L10" s="4" t="n">
        <v>22.99</v>
      </c>
      <c r="M10" s="5">
        <f>IF(OR(L10="",I10=""),"",L10/I10)</f>
        <v/>
      </c>
      <c r="N10" s="5">
        <f>IF(D10&lt;&gt;"ACHAT","",K10*M10)</f>
        <v/>
      </c>
      <c r="O10" s="4" t="inlineStr"/>
      <c r="P10" s="5">
        <f>IF(D10&lt;&gt;"VENTE","",ABS(K10)*O10)</f>
        <v/>
      </c>
      <c r="Q10" s="4" t="inlineStr"/>
    </row>
    <row r="11">
      <c r="A11" t="inlineStr">
        <is>
          <t>M000008</t>
        </is>
      </c>
      <c r="B11" s="4" t="b">
        <v>1</v>
      </c>
      <c r="C11" s="4" t="inlineStr">
        <is>
          <t>2025-11-16</t>
        </is>
      </c>
      <c r="D11" s="4" t="inlineStr">
        <is>
          <t>ACHAT</t>
        </is>
      </c>
      <c r="E11" s="4" t="inlineStr">
        <is>
          <t>P69BCEF762C</t>
        </is>
      </c>
      <c r="F11" s="5">
        <f>IF(E11="","",VLOOKUP(E11,Produits!$A:$J,2,FALSE))</f>
        <v/>
      </c>
      <c r="G11" s="5">
        <f>IF(E11="","",VLOOKUP(E11,Produits!$A:$J,3,FALSE))</f>
        <v/>
      </c>
      <c r="H11" s="4" t="n">
        <v>0</v>
      </c>
      <c r="I11" s="4" t="n">
        <v>0</v>
      </c>
      <c r="J11" s="4" t="n">
        <v>8</v>
      </c>
      <c r="K11" s="5">
        <f>IF(B11=FALSE,"",IF(D11="ACHAT",IF(AND(H11&lt;&gt;"",I11&lt;&gt;""),H11*I11,J11),IF(OR(D11="VENTE",D11="PERTE"),-ABS(J11),IF(D11="AJUSTEMENT",J11,""))))</f>
        <v/>
      </c>
      <c r="L11" s="4" t="n">
        <v>8.19</v>
      </c>
      <c r="M11" s="5">
        <f>IF(OR(L11="",I11=""),"",L11/I11)</f>
        <v/>
      </c>
      <c r="N11" s="5">
        <f>IF(D11&lt;&gt;"ACHAT","",K11*M11)</f>
        <v/>
      </c>
      <c r="O11" s="4" t="inlineStr"/>
      <c r="P11" s="5">
        <f>IF(D11&lt;&gt;"VENTE","",ABS(K11)*O11)</f>
        <v/>
      </c>
      <c r="Q11" s="4" t="inlineStr"/>
    </row>
    <row r="12">
      <c r="B12" s="4" t="n"/>
      <c r="C12" s="4" t="n"/>
      <c r="D12" s="4" t="n"/>
      <c r="E12" s="4" t="n"/>
      <c r="F12" s="5">
        <f>IF(E12="","",VLOOKUP(E12,Produits!$A:$J,2,FALSE))</f>
        <v/>
      </c>
      <c r="G12" s="5">
        <f>IF(E12="","",VLOOKUP(E12,Produits!$A:$J,3,FALSE))</f>
        <v/>
      </c>
      <c r="H12" s="4" t="n"/>
      <c r="I12" s="4" t="n"/>
      <c r="J12" s="4" t="n"/>
      <c r="K12" s="5">
        <f>IF(B12=FALSE,"",IF(D12="ACHAT",IF(AND(H12&lt;&gt;"",I12&lt;&gt;""),H12*I12,J12),IF(OR(D12="VENTE",D12="PERTE"),-ABS(J12),IF(D12="AJUSTEMENT",J12,""))))</f>
        <v/>
      </c>
      <c r="L12" s="4" t="n"/>
      <c r="M12" s="5">
        <f>IF(OR(L12="",I12=""),"",L12/I12)</f>
        <v/>
      </c>
      <c r="N12" s="5">
        <f>IF(D12&lt;&gt;"ACHAT","",K12*M12)</f>
        <v/>
      </c>
      <c r="O12" s="4" t="n"/>
      <c r="P12" s="5">
        <f>IF(D12&lt;&gt;"VENTE","",ABS(K12)*O12)</f>
        <v/>
      </c>
      <c r="Q12" s="4" t="n"/>
    </row>
    <row r="13">
      <c r="B13" s="4" t="n"/>
      <c r="C13" s="4" t="n"/>
      <c r="D13" s="4" t="n"/>
      <c r="E13" s="4" t="n"/>
      <c r="F13" s="5">
        <f>IF(E13="","",VLOOKUP(E13,Produits!$A:$J,2,FALSE))</f>
        <v/>
      </c>
      <c r="G13" s="5">
        <f>IF(E13="","",VLOOKUP(E13,Produits!$A:$J,3,FALSE))</f>
        <v/>
      </c>
      <c r="H13" s="4" t="n"/>
      <c r="I13" s="4" t="n"/>
      <c r="J13" s="4" t="n"/>
      <c r="K13" s="5">
        <f>IF(B13=FALSE,"",IF(D13="ACHAT",IF(AND(H13&lt;&gt;"",I13&lt;&gt;""),H13*I13,J13),IF(OR(D13="VENTE",D13="PERTE"),-ABS(J13),IF(D13="AJUSTEMENT",J13,""))))</f>
        <v/>
      </c>
      <c r="L13" s="4" t="n"/>
      <c r="M13" s="5">
        <f>IF(OR(L13="",I13=""),"",L13/I13)</f>
        <v/>
      </c>
      <c r="N13" s="5">
        <f>IF(D13&lt;&gt;"ACHAT","",K13*M13)</f>
        <v/>
      </c>
      <c r="O13" s="4" t="n"/>
      <c r="P13" s="5">
        <f>IF(D13&lt;&gt;"VENTE","",ABS(K13)*O13)</f>
        <v/>
      </c>
      <c r="Q13" s="4" t="n"/>
    </row>
    <row r="14">
      <c r="B14" s="4" t="n"/>
      <c r="C14" s="4" t="n"/>
      <c r="D14" s="4" t="n"/>
      <c r="E14" s="4" t="n"/>
      <c r="F14" s="5">
        <f>IF(E14="","",VLOOKUP(E14,Produits!$A:$J,2,FALSE))</f>
        <v/>
      </c>
      <c r="G14" s="5">
        <f>IF(E14="","",VLOOKUP(E14,Produits!$A:$J,3,FALSE))</f>
        <v/>
      </c>
      <c r="H14" s="4" t="n"/>
      <c r="I14" s="4" t="n"/>
      <c r="J14" s="4" t="n"/>
      <c r="K14" s="5">
        <f>IF(B14=FALSE,"",IF(D14="ACHAT",IF(AND(H14&lt;&gt;"",I14&lt;&gt;""),H14*I14,J14),IF(OR(D14="VENTE",D14="PERTE"),-ABS(J14),IF(D14="AJUSTEMENT",J14,""))))</f>
        <v/>
      </c>
      <c r="L14" s="4" t="n"/>
      <c r="M14" s="5">
        <f>IF(OR(L14="",I14=""),"",L14/I14)</f>
        <v/>
      </c>
      <c r="N14" s="5">
        <f>IF(D14&lt;&gt;"ACHAT","",K14*M14)</f>
        <v/>
      </c>
      <c r="O14" s="4" t="n"/>
      <c r="P14" s="5">
        <f>IF(D14&lt;&gt;"VENTE","",ABS(K14)*O14)</f>
        <v/>
      </c>
      <c r="Q14" s="4" t="n"/>
    </row>
    <row r="15">
      <c r="B15" s="4" t="n"/>
      <c r="C15" s="4" t="n"/>
      <c r="D15" s="4" t="n"/>
      <c r="E15" s="4" t="n"/>
      <c r="F15" s="5">
        <f>IF(E15="","",VLOOKUP(E15,Produits!$A:$J,2,FALSE))</f>
        <v/>
      </c>
      <c r="G15" s="5">
        <f>IF(E15="","",VLOOKUP(E15,Produits!$A:$J,3,FALSE))</f>
        <v/>
      </c>
      <c r="H15" s="4" t="n"/>
      <c r="I15" s="4" t="n"/>
      <c r="J15" s="4" t="n"/>
      <c r="K15" s="5">
        <f>IF(B15=FALSE,"",IF(D15="ACHAT",IF(AND(H15&lt;&gt;"",I15&lt;&gt;""),H15*I15,J15),IF(OR(D15="VENTE",D15="PERTE"),-ABS(J15),IF(D15="AJUSTEMENT",J15,""))))</f>
        <v/>
      </c>
      <c r="L15" s="4" t="n"/>
      <c r="M15" s="5">
        <f>IF(OR(L15="",I15=""),"",L15/I15)</f>
        <v/>
      </c>
      <c r="N15" s="5">
        <f>IF(D15&lt;&gt;"ACHAT","",K15*M15)</f>
        <v/>
      </c>
      <c r="O15" s="4" t="n"/>
      <c r="P15" s="5">
        <f>IF(D15&lt;&gt;"VENTE","",ABS(K15)*O15)</f>
        <v/>
      </c>
      <c r="Q15" s="4" t="n"/>
    </row>
    <row r="16">
      <c r="B16" s="4" t="n"/>
      <c r="C16" s="4" t="n"/>
      <c r="D16" s="4" t="n"/>
      <c r="E16" s="4" t="n"/>
      <c r="F16" s="5">
        <f>IF(E16="","",VLOOKUP(E16,Produits!$A:$J,2,FALSE))</f>
        <v/>
      </c>
      <c r="G16" s="5">
        <f>IF(E16="","",VLOOKUP(E16,Produits!$A:$J,3,FALSE))</f>
        <v/>
      </c>
      <c r="H16" s="4" t="n"/>
      <c r="I16" s="4" t="n"/>
      <c r="J16" s="4" t="n"/>
      <c r="K16" s="5">
        <f>IF(B16=FALSE,"",IF(D16="ACHAT",IF(AND(H16&lt;&gt;"",I16&lt;&gt;""),H16*I16,J16),IF(OR(D16="VENTE",D16="PERTE"),-ABS(J16),IF(D16="AJUSTEMENT",J16,""))))</f>
        <v/>
      </c>
      <c r="L16" s="4" t="n"/>
      <c r="M16" s="5">
        <f>IF(OR(L16="",I16=""),"",L16/I16)</f>
        <v/>
      </c>
      <c r="N16" s="5">
        <f>IF(D16&lt;&gt;"ACHAT","",K16*M16)</f>
        <v/>
      </c>
      <c r="O16" s="4" t="n"/>
      <c r="P16" s="5">
        <f>IF(D16&lt;&gt;"VENTE","",ABS(K16)*O16)</f>
        <v/>
      </c>
      <c r="Q16" s="4" t="n"/>
    </row>
    <row r="17">
      <c r="B17" s="4" t="n"/>
      <c r="C17" s="4" t="n"/>
      <c r="D17" s="4" t="n"/>
      <c r="E17" s="4" t="n"/>
      <c r="F17" s="5">
        <f>IF(E17="","",VLOOKUP(E17,Produits!$A:$J,2,FALSE))</f>
        <v/>
      </c>
      <c r="G17" s="5">
        <f>IF(E17="","",VLOOKUP(E17,Produits!$A:$J,3,FALSE))</f>
        <v/>
      </c>
      <c r="H17" s="4" t="n"/>
      <c r="I17" s="4" t="n"/>
      <c r="J17" s="4" t="n"/>
      <c r="K17" s="5">
        <f>IF(B17=FALSE,"",IF(D17="ACHAT",IF(AND(H17&lt;&gt;"",I17&lt;&gt;""),H17*I17,J17),IF(OR(D17="VENTE",D17="PERTE"),-ABS(J17),IF(D17="AJUSTEMENT",J17,""))))</f>
        <v/>
      </c>
      <c r="L17" s="4" t="n"/>
      <c r="M17" s="5">
        <f>IF(OR(L17="",I17=""),"",L17/I17)</f>
        <v/>
      </c>
      <c r="N17" s="5">
        <f>IF(D17&lt;&gt;"ACHAT","",K17*M17)</f>
        <v/>
      </c>
      <c r="O17" s="4" t="n"/>
      <c r="P17" s="5">
        <f>IF(D17&lt;&gt;"VENTE","",ABS(K17)*O17)</f>
        <v/>
      </c>
      <c r="Q17" s="4" t="n"/>
    </row>
    <row r="18">
      <c r="B18" s="4" t="n"/>
      <c r="C18" s="4" t="n"/>
      <c r="D18" s="4" t="n"/>
      <c r="E18" s="4" t="n"/>
      <c r="F18" s="5">
        <f>IF(E18="","",VLOOKUP(E18,Produits!$A:$J,2,FALSE))</f>
        <v/>
      </c>
      <c r="G18" s="5">
        <f>IF(E18="","",VLOOKUP(E18,Produits!$A:$J,3,FALSE))</f>
        <v/>
      </c>
      <c r="H18" s="4" t="n"/>
      <c r="I18" s="4" t="n"/>
      <c r="J18" s="4" t="n"/>
      <c r="K18" s="5">
        <f>IF(B18=FALSE,"",IF(D18="ACHAT",IF(AND(H18&lt;&gt;"",I18&lt;&gt;""),H18*I18,J18),IF(OR(D18="VENTE",D18="PERTE"),-ABS(J18),IF(D18="AJUSTEMENT",J18,""))))</f>
        <v/>
      </c>
      <c r="L18" s="4" t="n"/>
      <c r="M18" s="5">
        <f>IF(OR(L18="",I18=""),"",L18/I18)</f>
        <v/>
      </c>
      <c r="N18" s="5">
        <f>IF(D18&lt;&gt;"ACHAT","",K18*M18)</f>
        <v/>
      </c>
      <c r="O18" s="4" t="n"/>
      <c r="P18" s="5">
        <f>IF(D18&lt;&gt;"VENTE","",ABS(K18)*O18)</f>
        <v/>
      </c>
      <c r="Q18" s="4" t="n"/>
    </row>
    <row r="19">
      <c r="B19" s="4" t="n"/>
      <c r="C19" s="4" t="n"/>
      <c r="D19" s="4" t="n"/>
      <c r="E19" s="4" t="n"/>
      <c r="F19" s="5">
        <f>IF(E19="","",VLOOKUP(E19,Produits!$A:$J,2,FALSE))</f>
        <v/>
      </c>
      <c r="G19" s="5">
        <f>IF(E19="","",VLOOKUP(E19,Produits!$A:$J,3,FALSE))</f>
        <v/>
      </c>
      <c r="H19" s="4" t="n"/>
      <c r="I19" s="4" t="n"/>
      <c r="J19" s="4" t="n"/>
      <c r="K19" s="5">
        <f>IF(B19=FALSE,"",IF(D19="ACHAT",IF(AND(H19&lt;&gt;"",I19&lt;&gt;""),H19*I19,J19),IF(OR(D19="VENTE",D19="PERTE"),-ABS(J19),IF(D19="AJUSTEMENT",J19,""))))</f>
        <v/>
      </c>
      <c r="L19" s="4" t="n"/>
      <c r="M19" s="5">
        <f>IF(OR(L19="",I19=""),"",L19/I19)</f>
        <v/>
      </c>
      <c r="N19" s="5">
        <f>IF(D19&lt;&gt;"ACHAT","",K19*M19)</f>
        <v/>
      </c>
      <c r="O19" s="4" t="n"/>
      <c r="P19" s="5">
        <f>IF(D19&lt;&gt;"VENTE","",ABS(K19)*O19)</f>
        <v/>
      </c>
      <c r="Q19" s="4" t="n"/>
    </row>
    <row r="20">
      <c r="B20" s="4" t="n"/>
      <c r="C20" s="4" t="n"/>
      <c r="D20" s="4" t="n"/>
      <c r="E20" s="4" t="n"/>
      <c r="F20" s="5">
        <f>IF(E20="","",VLOOKUP(E20,Produits!$A:$J,2,FALSE))</f>
        <v/>
      </c>
      <c r="G20" s="5">
        <f>IF(E20="","",VLOOKUP(E20,Produits!$A:$J,3,FALSE))</f>
        <v/>
      </c>
      <c r="H20" s="4" t="n"/>
      <c r="I20" s="4" t="n"/>
      <c r="J20" s="4" t="n"/>
      <c r="K20" s="5">
        <f>IF(B20=FALSE,"",IF(D20="ACHAT",IF(AND(H20&lt;&gt;"",I20&lt;&gt;""),H20*I20,J20),IF(OR(D20="VENTE",D20="PERTE"),-ABS(J20),IF(D20="AJUSTEMENT",J20,""))))</f>
        <v/>
      </c>
      <c r="L20" s="4" t="n"/>
      <c r="M20" s="5">
        <f>IF(OR(L20="",I20=""),"",L20/I20)</f>
        <v/>
      </c>
      <c r="N20" s="5">
        <f>IF(D20&lt;&gt;"ACHAT","",K20*M20)</f>
        <v/>
      </c>
      <c r="O20" s="4" t="n"/>
      <c r="P20" s="5">
        <f>IF(D20&lt;&gt;"VENTE","",ABS(K20)*O20)</f>
        <v/>
      </c>
      <c r="Q20" s="4" t="n"/>
    </row>
    <row r="21">
      <c r="B21" s="4" t="n"/>
      <c r="C21" s="4" t="n"/>
      <c r="D21" s="4" t="n"/>
      <c r="E21" s="4" t="n"/>
      <c r="F21" s="5">
        <f>IF(E21="","",VLOOKUP(E21,Produits!$A:$J,2,FALSE))</f>
        <v/>
      </c>
      <c r="G21" s="5">
        <f>IF(E21="","",VLOOKUP(E21,Produits!$A:$J,3,FALSE))</f>
        <v/>
      </c>
      <c r="H21" s="4" t="n"/>
      <c r="I21" s="4" t="n"/>
      <c r="J21" s="4" t="n"/>
      <c r="K21" s="5">
        <f>IF(B21=FALSE,"",IF(D21="ACHAT",IF(AND(H21&lt;&gt;"",I21&lt;&gt;""),H21*I21,J21),IF(OR(D21="VENTE",D21="PERTE"),-ABS(J21),IF(D21="AJUSTEMENT",J21,""))))</f>
        <v/>
      </c>
      <c r="L21" s="4" t="n"/>
      <c r="M21" s="5">
        <f>IF(OR(L21="",I21=""),"",L21/I21)</f>
        <v/>
      </c>
      <c r="N21" s="5">
        <f>IF(D21&lt;&gt;"ACHAT","",K21*M21)</f>
        <v/>
      </c>
      <c r="O21" s="4" t="n"/>
      <c r="P21" s="5">
        <f>IF(D21&lt;&gt;"VENTE","",ABS(K21)*O21)</f>
        <v/>
      </c>
      <c r="Q21" s="4" t="n"/>
    </row>
    <row r="22">
      <c r="B22" s="4" t="n"/>
      <c r="C22" s="4" t="n"/>
      <c r="D22" s="4" t="n"/>
      <c r="E22" s="4" t="n"/>
      <c r="F22" s="5">
        <f>IF(E22="","",VLOOKUP(E22,Produits!$A:$J,2,FALSE))</f>
        <v/>
      </c>
      <c r="G22" s="5">
        <f>IF(E22="","",VLOOKUP(E22,Produits!$A:$J,3,FALSE))</f>
        <v/>
      </c>
      <c r="H22" s="4" t="n"/>
      <c r="I22" s="4" t="n"/>
      <c r="J22" s="4" t="n"/>
      <c r="K22" s="5">
        <f>IF(B22=FALSE,"",IF(D22="ACHAT",IF(AND(H22&lt;&gt;"",I22&lt;&gt;""),H22*I22,J22),IF(OR(D22="VENTE",D22="PERTE"),-ABS(J22),IF(D22="AJUSTEMENT",J22,""))))</f>
        <v/>
      </c>
      <c r="L22" s="4" t="n"/>
      <c r="M22" s="5">
        <f>IF(OR(L22="",I22=""),"",L22/I22)</f>
        <v/>
      </c>
      <c r="N22" s="5">
        <f>IF(D22&lt;&gt;"ACHAT","",K22*M22)</f>
        <v/>
      </c>
      <c r="O22" s="4" t="n"/>
      <c r="P22" s="5">
        <f>IF(D22&lt;&gt;"VENTE","",ABS(K22)*O22)</f>
        <v/>
      </c>
      <c r="Q22" s="4" t="n"/>
    </row>
    <row r="23">
      <c r="B23" s="4" t="n"/>
      <c r="C23" s="4" t="n"/>
      <c r="D23" s="4" t="n"/>
      <c r="E23" s="4" t="n"/>
      <c r="F23" s="5">
        <f>IF(E23="","",VLOOKUP(E23,Produits!$A:$J,2,FALSE))</f>
        <v/>
      </c>
      <c r="G23" s="5">
        <f>IF(E23="","",VLOOKUP(E23,Produits!$A:$J,3,FALSE))</f>
        <v/>
      </c>
      <c r="H23" s="4" t="n"/>
      <c r="I23" s="4" t="n"/>
      <c r="J23" s="4" t="n"/>
      <c r="K23" s="5">
        <f>IF(B23=FALSE,"",IF(D23="ACHAT",IF(AND(H23&lt;&gt;"",I23&lt;&gt;""),H23*I23,J23),IF(OR(D23="VENTE",D23="PERTE"),-ABS(J23),IF(D23="AJUSTEMENT",J23,""))))</f>
        <v/>
      </c>
      <c r="L23" s="4" t="n"/>
      <c r="M23" s="5">
        <f>IF(OR(L23="",I23=""),"",L23/I23)</f>
        <v/>
      </c>
      <c r="N23" s="5">
        <f>IF(D23&lt;&gt;"ACHAT","",K23*M23)</f>
        <v/>
      </c>
      <c r="O23" s="4" t="n"/>
      <c r="P23" s="5">
        <f>IF(D23&lt;&gt;"VENTE","",ABS(K23)*O23)</f>
        <v/>
      </c>
      <c r="Q23" s="4" t="n"/>
    </row>
    <row r="24">
      <c r="B24" s="4" t="n"/>
      <c r="C24" s="4" t="n"/>
      <c r="D24" s="4" t="n"/>
      <c r="E24" s="4" t="n"/>
      <c r="F24" s="5">
        <f>IF(E24="","",VLOOKUP(E24,Produits!$A:$J,2,FALSE))</f>
        <v/>
      </c>
      <c r="G24" s="5">
        <f>IF(E24="","",VLOOKUP(E24,Produits!$A:$J,3,FALSE))</f>
        <v/>
      </c>
      <c r="H24" s="4" t="n"/>
      <c r="I24" s="4" t="n"/>
      <c r="J24" s="4" t="n"/>
      <c r="K24" s="5">
        <f>IF(B24=FALSE,"",IF(D24="ACHAT",IF(AND(H24&lt;&gt;"",I24&lt;&gt;""),H24*I24,J24),IF(OR(D24="VENTE",D24="PERTE"),-ABS(J24),IF(D24="AJUSTEMENT",J24,""))))</f>
        <v/>
      </c>
      <c r="L24" s="4" t="n"/>
      <c r="M24" s="5">
        <f>IF(OR(L24="",I24=""),"",L24/I24)</f>
        <v/>
      </c>
      <c r="N24" s="5">
        <f>IF(D24&lt;&gt;"ACHAT","",K24*M24)</f>
        <v/>
      </c>
      <c r="O24" s="4" t="n"/>
      <c r="P24" s="5">
        <f>IF(D24&lt;&gt;"VENTE","",ABS(K24)*O24)</f>
        <v/>
      </c>
      <c r="Q24" s="4" t="n"/>
    </row>
    <row r="25">
      <c r="B25" s="4" t="n"/>
      <c r="C25" s="4" t="n"/>
      <c r="D25" s="4" t="n"/>
      <c r="E25" s="4" t="n"/>
      <c r="F25" s="5">
        <f>IF(E25="","",VLOOKUP(E25,Produits!$A:$J,2,FALSE))</f>
        <v/>
      </c>
      <c r="G25" s="5">
        <f>IF(E25="","",VLOOKUP(E25,Produits!$A:$J,3,FALSE))</f>
        <v/>
      </c>
      <c r="H25" s="4" t="n"/>
      <c r="I25" s="4" t="n"/>
      <c r="J25" s="4" t="n"/>
      <c r="K25" s="5">
        <f>IF(B25=FALSE,"",IF(D25="ACHAT",IF(AND(H25&lt;&gt;"",I25&lt;&gt;""),H25*I25,J25),IF(OR(D25="VENTE",D25="PERTE"),-ABS(J25),IF(D25="AJUSTEMENT",J25,""))))</f>
        <v/>
      </c>
      <c r="L25" s="4" t="n"/>
      <c r="M25" s="5">
        <f>IF(OR(L25="",I25=""),"",L25/I25)</f>
        <v/>
      </c>
      <c r="N25" s="5">
        <f>IF(D25&lt;&gt;"ACHAT","",K25*M25)</f>
        <v/>
      </c>
      <c r="O25" s="4" t="n"/>
      <c r="P25" s="5">
        <f>IF(D25&lt;&gt;"VENTE","",ABS(K25)*O25)</f>
        <v/>
      </c>
      <c r="Q25" s="4" t="n"/>
    </row>
    <row r="26">
      <c r="B26" s="4" t="n"/>
      <c r="C26" s="4" t="n"/>
      <c r="D26" s="4" t="n"/>
      <c r="E26" s="4" t="n"/>
      <c r="F26" s="5">
        <f>IF(E26="","",VLOOKUP(E26,Produits!$A:$J,2,FALSE))</f>
        <v/>
      </c>
      <c r="G26" s="5">
        <f>IF(E26="","",VLOOKUP(E26,Produits!$A:$J,3,FALSE))</f>
        <v/>
      </c>
      <c r="H26" s="4" t="n"/>
      <c r="I26" s="4" t="n"/>
      <c r="J26" s="4" t="n"/>
      <c r="K26" s="5">
        <f>IF(B26=FALSE,"",IF(D26="ACHAT",IF(AND(H26&lt;&gt;"",I26&lt;&gt;""),H26*I26,J26),IF(OR(D26="VENTE",D26="PERTE"),-ABS(J26),IF(D26="AJUSTEMENT",J26,""))))</f>
        <v/>
      </c>
      <c r="L26" s="4" t="n"/>
      <c r="M26" s="5">
        <f>IF(OR(L26="",I26=""),"",L26/I26)</f>
        <v/>
      </c>
      <c r="N26" s="5">
        <f>IF(D26&lt;&gt;"ACHAT","",K26*M26)</f>
        <v/>
      </c>
      <c r="O26" s="4" t="n"/>
      <c r="P26" s="5">
        <f>IF(D26&lt;&gt;"VENTE","",ABS(K26)*O26)</f>
        <v/>
      </c>
      <c r="Q26" s="4" t="n"/>
    </row>
    <row r="27">
      <c r="B27" s="4" t="n"/>
      <c r="C27" s="4" t="n"/>
      <c r="D27" s="4" t="n"/>
      <c r="E27" s="4" t="n"/>
      <c r="F27" s="5">
        <f>IF(E27="","",VLOOKUP(E27,Produits!$A:$J,2,FALSE))</f>
        <v/>
      </c>
      <c r="G27" s="5">
        <f>IF(E27="","",VLOOKUP(E27,Produits!$A:$J,3,FALSE))</f>
        <v/>
      </c>
      <c r="H27" s="4" t="n"/>
      <c r="I27" s="4" t="n"/>
      <c r="J27" s="4" t="n"/>
      <c r="K27" s="5">
        <f>IF(B27=FALSE,"",IF(D27="ACHAT",IF(AND(H27&lt;&gt;"",I27&lt;&gt;""),H27*I27,J27),IF(OR(D27="VENTE",D27="PERTE"),-ABS(J27),IF(D27="AJUSTEMENT",J27,""))))</f>
        <v/>
      </c>
      <c r="L27" s="4" t="n"/>
      <c r="M27" s="5">
        <f>IF(OR(L27="",I27=""),"",L27/I27)</f>
        <v/>
      </c>
      <c r="N27" s="5">
        <f>IF(D27&lt;&gt;"ACHAT","",K27*M27)</f>
        <v/>
      </c>
      <c r="O27" s="4" t="n"/>
      <c r="P27" s="5">
        <f>IF(D27&lt;&gt;"VENTE","",ABS(K27)*O27)</f>
        <v/>
      </c>
      <c r="Q27" s="4" t="n"/>
    </row>
    <row r="28">
      <c r="B28" s="4" t="n"/>
      <c r="C28" s="4" t="n"/>
      <c r="D28" s="4" t="n"/>
      <c r="E28" s="4" t="n"/>
      <c r="F28" s="5">
        <f>IF(E28="","",VLOOKUP(E28,Produits!$A:$J,2,FALSE))</f>
        <v/>
      </c>
      <c r="G28" s="5">
        <f>IF(E28="","",VLOOKUP(E28,Produits!$A:$J,3,FALSE))</f>
        <v/>
      </c>
      <c r="H28" s="4" t="n"/>
      <c r="I28" s="4" t="n"/>
      <c r="J28" s="4" t="n"/>
      <c r="K28" s="5">
        <f>IF(B28=FALSE,"",IF(D28="ACHAT",IF(AND(H28&lt;&gt;"",I28&lt;&gt;""),H28*I28,J28),IF(OR(D28="VENTE",D28="PERTE"),-ABS(J28),IF(D28="AJUSTEMENT",J28,""))))</f>
        <v/>
      </c>
      <c r="L28" s="4" t="n"/>
      <c r="M28" s="5">
        <f>IF(OR(L28="",I28=""),"",L28/I28)</f>
        <v/>
      </c>
      <c r="N28" s="5">
        <f>IF(D28&lt;&gt;"ACHAT","",K28*M28)</f>
        <v/>
      </c>
      <c r="O28" s="4" t="n"/>
      <c r="P28" s="5">
        <f>IF(D28&lt;&gt;"VENTE","",ABS(K28)*O28)</f>
        <v/>
      </c>
      <c r="Q28" s="4" t="n"/>
    </row>
    <row r="29">
      <c r="B29" s="4" t="n"/>
      <c r="C29" s="4" t="n"/>
      <c r="D29" s="4" t="n"/>
      <c r="E29" s="4" t="n"/>
      <c r="F29" s="5">
        <f>IF(E29="","",VLOOKUP(E29,Produits!$A:$J,2,FALSE))</f>
        <v/>
      </c>
      <c r="G29" s="5">
        <f>IF(E29="","",VLOOKUP(E29,Produits!$A:$J,3,FALSE))</f>
        <v/>
      </c>
      <c r="H29" s="4" t="n"/>
      <c r="I29" s="4" t="n"/>
      <c r="J29" s="4" t="n"/>
      <c r="K29" s="5">
        <f>IF(B29=FALSE,"",IF(D29="ACHAT",IF(AND(H29&lt;&gt;"",I29&lt;&gt;""),H29*I29,J29),IF(OR(D29="VENTE",D29="PERTE"),-ABS(J29),IF(D29="AJUSTEMENT",J29,""))))</f>
        <v/>
      </c>
      <c r="L29" s="4" t="n"/>
      <c r="M29" s="5">
        <f>IF(OR(L29="",I29=""),"",L29/I29)</f>
        <v/>
      </c>
      <c r="N29" s="5">
        <f>IF(D29&lt;&gt;"ACHAT","",K29*M29)</f>
        <v/>
      </c>
      <c r="O29" s="4" t="n"/>
      <c r="P29" s="5">
        <f>IF(D29&lt;&gt;"VENTE","",ABS(K29)*O29)</f>
        <v/>
      </c>
      <c r="Q29" s="4" t="n"/>
    </row>
    <row r="30">
      <c r="B30" s="4" t="n"/>
      <c r="C30" s="4" t="n"/>
      <c r="D30" s="4" t="n"/>
      <c r="E30" s="4" t="n"/>
      <c r="F30" s="5">
        <f>IF(E30="","",VLOOKUP(E30,Produits!$A:$J,2,FALSE))</f>
        <v/>
      </c>
      <c r="G30" s="5">
        <f>IF(E30="","",VLOOKUP(E30,Produits!$A:$J,3,FALSE))</f>
        <v/>
      </c>
      <c r="H30" s="4" t="n"/>
      <c r="I30" s="4" t="n"/>
      <c r="J30" s="4" t="n"/>
      <c r="K30" s="5">
        <f>IF(B30=FALSE,"",IF(D30="ACHAT",IF(AND(H30&lt;&gt;"",I30&lt;&gt;""),H30*I30,J30),IF(OR(D30="VENTE",D30="PERTE"),-ABS(J30),IF(D30="AJUSTEMENT",J30,""))))</f>
        <v/>
      </c>
      <c r="L30" s="4" t="n"/>
      <c r="M30" s="5">
        <f>IF(OR(L30="",I30=""),"",L30/I30)</f>
        <v/>
      </c>
      <c r="N30" s="5">
        <f>IF(D30&lt;&gt;"ACHAT","",K30*M30)</f>
        <v/>
      </c>
      <c r="O30" s="4" t="n"/>
      <c r="P30" s="5">
        <f>IF(D30&lt;&gt;"VENTE","",ABS(K30)*O30)</f>
        <v/>
      </c>
      <c r="Q30" s="4" t="n"/>
    </row>
    <row r="31">
      <c r="B31" s="4" t="n"/>
      <c r="C31" s="4" t="n"/>
      <c r="D31" s="4" t="n"/>
      <c r="E31" s="4" t="n"/>
      <c r="F31" s="5">
        <f>IF(E31="","",VLOOKUP(E31,Produits!$A:$J,2,FALSE))</f>
        <v/>
      </c>
      <c r="G31" s="5">
        <f>IF(E31="","",VLOOKUP(E31,Produits!$A:$J,3,FALSE))</f>
        <v/>
      </c>
      <c r="H31" s="4" t="n"/>
      <c r="I31" s="4" t="n"/>
      <c r="J31" s="4" t="n"/>
      <c r="K31" s="5">
        <f>IF(B31=FALSE,"",IF(D31="ACHAT",IF(AND(H31&lt;&gt;"",I31&lt;&gt;""),H31*I31,J31),IF(OR(D31="VENTE",D31="PERTE"),-ABS(J31),IF(D31="AJUSTEMENT",J31,""))))</f>
        <v/>
      </c>
      <c r="L31" s="4" t="n"/>
      <c r="M31" s="5">
        <f>IF(OR(L31="",I31=""),"",L31/I31)</f>
        <v/>
      </c>
      <c r="N31" s="5">
        <f>IF(D31&lt;&gt;"ACHAT","",K31*M31)</f>
        <v/>
      </c>
      <c r="O31" s="4" t="n"/>
      <c r="P31" s="5">
        <f>IF(D31&lt;&gt;"VENTE","",ABS(K31)*O31)</f>
        <v/>
      </c>
      <c r="Q31" s="4" t="n"/>
    </row>
    <row r="32">
      <c r="B32" s="4" t="n"/>
      <c r="C32" s="4" t="n"/>
      <c r="D32" s="4" t="n"/>
      <c r="E32" s="4" t="n"/>
      <c r="F32" s="5">
        <f>IF(E32="","",VLOOKUP(E32,Produits!$A:$J,2,FALSE))</f>
        <v/>
      </c>
      <c r="G32" s="5">
        <f>IF(E32="","",VLOOKUP(E32,Produits!$A:$J,3,FALSE))</f>
        <v/>
      </c>
      <c r="H32" s="4" t="n"/>
      <c r="I32" s="4" t="n"/>
      <c r="J32" s="4" t="n"/>
      <c r="K32" s="5">
        <f>IF(B32=FALSE,"",IF(D32="ACHAT",IF(AND(H32&lt;&gt;"",I32&lt;&gt;""),H32*I32,J32),IF(OR(D32="VENTE",D32="PERTE"),-ABS(J32),IF(D32="AJUSTEMENT",J32,""))))</f>
        <v/>
      </c>
      <c r="L32" s="4" t="n"/>
      <c r="M32" s="5">
        <f>IF(OR(L32="",I32=""),"",L32/I32)</f>
        <v/>
      </c>
      <c r="N32" s="5">
        <f>IF(D32&lt;&gt;"ACHAT","",K32*M32)</f>
        <v/>
      </c>
      <c r="O32" s="4" t="n"/>
      <c r="P32" s="5">
        <f>IF(D32&lt;&gt;"VENTE","",ABS(K32)*O32)</f>
        <v/>
      </c>
      <c r="Q32" s="4" t="n"/>
    </row>
    <row r="33">
      <c r="B33" s="4" t="n"/>
      <c r="C33" s="4" t="n"/>
      <c r="D33" s="4" t="n"/>
      <c r="E33" s="4" t="n"/>
      <c r="F33" s="5">
        <f>IF(E33="","",VLOOKUP(E33,Produits!$A:$J,2,FALSE))</f>
        <v/>
      </c>
      <c r="G33" s="5">
        <f>IF(E33="","",VLOOKUP(E33,Produits!$A:$J,3,FALSE))</f>
        <v/>
      </c>
      <c r="H33" s="4" t="n"/>
      <c r="I33" s="4" t="n"/>
      <c r="J33" s="4" t="n"/>
      <c r="K33" s="5">
        <f>IF(B33=FALSE,"",IF(D33="ACHAT",IF(AND(H33&lt;&gt;"",I33&lt;&gt;""),H33*I33,J33),IF(OR(D33="VENTE",D33="PERTE"),-ABS(J33),IF(D33="AJUSTEMENT",J33,""))))</f>
        <v/>
      </c>
      <c r="L33" s="4" t="n"/>
      <c r="M33" s="5">
        <f>IF(OR(L33="",I33=""),"",L33/I33)</f>
        <v/>
      </c>
      <c r="N33" s="5">
        <f>IF(D33&lt;&gt;"ACHAT","",K33*M33)</f>
        <v/>
      </c>
      <c r="O33" s="4" t="n"/>
      <c r="P33" s="5">
        <f>IF(D33&lt;&gt;"VENTE","",ABS(K33)*O33)</f>
        <v/>
      </c>
      <c r="Q33" s="4" t="n"/>
    </row>
    <row r="34">
      <c r="B34" s="4" t="n"/>
      <c r="C34" s="4" t="n"/>
      <c r="D34" s="4" t="n"/>
      <c r="E34" s="4" t="n"/>
      <c r="F34" s="5">
        <f>IF(E34="","",VLOOKUP(E34,Produits!$A:$J,2,FALSE))</f>
        <v/>
      </c>
      <c r="G34" s="5">
        <f>IF(E34="","",VLOOKUP(E34,Produits!$A:$J,3,FALSE))</f>
        <v/>
      </c>
      <c r="H34" s="4" t="n"/>
      <c r="I34" s="4" t="n"/>
      <c r="J34" s="4" t="n"/>
      <c r="K34" s="5">
        <f>IF(B34=FALSE,"",IF(D34="ACHAT",IF(AND(H34&lt;&gt;"",I34&lt;&gt;""),H34*I34,J34),IF(OR(D34="VENTE",D34="PERTE"),-ABS(J34),IF(D34="AJUSTEMENT",J34,""))))</f>
        <v/>
      </c>
      <c r="L34" s="4" t="n"/>
      <c r="M34" s="5">
        <f>IF(OR(L34="",I34=""),"",L34/I34)</f>
        <v/>
      </c>
      <c r="N34" s="5">
        <f>IF(D34&lt;&gt;"ACHAT","",K34*M34)</f>
        <v/>
      </c>
      <c r="O34" s="4" t="n"/>
      <c r="P34" s="5">
        <f>IF(D34&lt;&gt;"VENTE","",ABS(K34)*O34)</f>
        <v/>
      </c>
      <c r="Q34" s="4" t="n"/>
    </row>
    <row r="35">
      <c r="B35" s="4" t="n"/>
      <c r="C35" s="4" t="n"/>
      <c r="D35" s="4" t="n"/>
      <c r="E35" s="4" t="n"/>
      <c r="F35" s="5">
        <f>IF(E35="","",VLOOKUP(E35,Produits!$A:$J,2,FALSE))</f>
        <v/>
      </c>
      <c r="G35" s="5">
        <f>IF(E35="","",VLOOKUP(E35,Produits!$A:$J,3,FALSE))</f>
        <v/>
      </c>
      <c r="H35" s="4" t="n"/>
      <c r="I35" s="4" t="n"/>
      <c r="J35" s="4" t="n"/>
      <c r="K35" s="5">
        <f>IF(B35=FALSE,"",IF(D35="ACHAT",IF(AND(H35&lt;&gt;"",I35&lt;&gt;""),H35*I35,J35),IF(OR(D35="VENTE",D35="PERTE"),-ABS(J35),IF(D35="AJUSTEMENT",J35,""))))</f>
        <v/>
      </c>
      <c r="L35" s="4" t="n"/>
      <c r="M35" s="5">
        <f>IF(OR(L35="",I35=""),"",L35/I35)</f>
        <v/>
      </c>
      <c r="N35" s="5">
        <f>IF(D35&lt;&gt;"ACHAT","",K35*M35)</f>
        <v/>
      </c>
      <c r="O35" s="4" t="n"/>
      <c r="P35" s="5">
        <f>IF(D35&lt;&gt;"VENTE","",ABS(K35)*O35)</f>
        <v/>
      </c>
      <c r="Q35" s="4" t="n"/>
    </row>
    <row r="36">
      <c r="B36" s="4" t="n"/>
      <c r="C36" s="4" t="n"/>
      <c r="D36" s="4" t="n"/>
      <c r="E36" s="4" t="n"/>
      <c r="F36" s="5">
        <f>IF(E36="","",VLOOKUP(E36,Produits!$A:$J,2,FALSE))</f>
        <v/>
      </c>
      <c r="G36" s="5">
        <f>IF(E36="","",VLOOKUP(E36,Produits!$A:$J,3,FALSE))</f>
        <v/>
      </c>
      <c r="H36" s="4" t="n"/>
      <c r="I36" s="4" t="n"/>
      <c r="J36" s="4" t="n"/>
      <c r="K36" s="5">
        <f>IF(B36=FALSE,"",IF(D36="ACHAT",IF(AND(H36&lt;&gt;"",I36&lt;&gt;""),H36*I36,J36),IF(OR(D36="VENTE",D36="PERTE"),-ABS(J36),IF(D36="AJUSTEMENT",J36,""))))</f>
        <v/>
      </c>
      <c r="L36" s="4" t="n"/>
      <c r="M36" s="5">
        <f>IF(OR(L36="",I36=""),"",L36/I36)</f>
        <v/>
      </c>
      <c r="N36" s="5">
        <f>IF(D36&lt;&gt;"ACHAT","",K36*M36)</f>
        <v/>
      </c>
      <c r="O36" s="4" t="n"/>
      <c r="P36" s="5">
        <f>IF(D36&lt;&gt;"VENTE","",ABS(K36)*O36)</f>
        <v/>
      </c>
      <c r="Q36" s="4" t="n"/>
    </row>
    <row r="37">
      <c r="B37" s="4" t="n"/>
      <c r="C37" s="4" t="n"/>
      <c r="D37" s="4" t="n"/>
      <c r="E37" s="4" t="n"/>
      <c r="F37" s="5">
        <f>IF(E37="","",VLOOKUP(E37,Produits!$A:$J,2,FALSE))</f>
        <v/>
      </c>
      <c r="G37" s="5">
        <f>IF(E37="","",VLOOKUP(E37,Produits!$A:$J,3,FALSE))</f>
        <v/>
      </c>
      <c r="H37" s="4" t="n"/>
      <c r="I37" s="4" t="n"/>
      <c r="J37" s="4" t="n"/>
      <c r="K37" s="5">
        <f>IF(B37=FALSE,"",IF(D37="ACHAT",IF(AND(H37&lt;&gt;"",I37&lt;&gt;""),H37*I37,J37),IF(OR(D37="VENTE",D37="PERTE"),-ABS(J37),IF(D37="AJUSTEMENT",J37,""))))</f>
        <v/>
      </c>
      <c r="L37" s="4" t="n"/>
      <c r="M37" s="5">
        <f>IF(OR(L37="",I37=""),"",L37/I37)</f>
        <v/>
      </c>
      <c r="N37" s="5">
        <f>IF(D37&lt;&gt;"ACHAT","",K37*M37)</f>
        <v/>
      </c>
      <c r="O37" s="4" t="n"/>
      <c r="P37" s="5">
        <f>IF(D37&lt;&gt;"VENTE","",ABS(K37)*O37)</f>
        <v/>
      </c>
      <c r="Q37" s="4" t="n"/>
    </row>
    <row r="38">
      <c r="B38" s="4" t="n"/>
      <c r="C38" s="4" t="n"/>
      <c r="D38" s="4" t="n"/>
      <c r="E38" s="4" t="n"/>
      <c r="F38" s="5">
        <f>IF(E38="","",VLOOKUP(E38,Produits!$A:$J,2,FALSE))</f>
        <v/>
      </c>
      <c r="G38" s="5">
        <f>IF(E38="","",VLOOKUP(E38,Produits!$A:$J,3,FALSE))</f>
        <v/>
      </c>
      <c r="H38" s="4" t="n"/>
      <c r="I38" s="4" t="n"/>
      <c r="J38" s="4" t="n"/>
      <c r="K38" s="5">
        <f>IF(B38=FALSE,"",IF(D38="ACHAT",IF(AND(H38&lt;&gt;"",I38&lt;&gt;""),H38*I38,J38),IF(OR(D38="VENTE",D38="PERTE"),-ABS(J38),IF(D38="AJUSTEMENT",J38,""))))</f>
        <v/>
      </c>
      <c r="L38" s="4" t="n"/>
      <c r="M38" s="5">
        <f>IF(OR(L38="",I38=""),"",L38/I38)</f>
        <v/>
      </c>
      <c r="N38" s="5">
        <f>IF(D38&lt;&gt;"ACHAT","",K38*M38)</f>
        <v/>
      </c>
      <c r="O38" s="4" t="n"/>
      <c r="P38" s="5">
        <f>IF(D38&lt;&gt;"VENTE","",ABS(K38)*O38)</f>
        <v/>
      </c>
      <c r="Q38" s="4" t="n"/>
    </row>
    <row r="39">
      <c r="B39" s="4" t="n"/>
      <c r="C39" s="4" t="n"/>
      <c r="D39" s="4" t="n"/>
      <c r="E39" s="4" t="n"/>
      <c r="F39" s="5">
        <f>IF(E39="","",VLOOKUP(E39,Produits!$A:$J,2,FALSE))</f>
        <v/>
      </c>
      <c r="G39" s="5">
        <f>IF(E39="","",VLOOKUP(E39,Produits!$A:$J,3,FALSE))</f>
        <v/>
      </c>
      <c r="H39" s="4" t="n"/>
      <c r="I39" s="4" t="n"/>
      <c r="J39" s="4" t="n"/>
      <c r="K39" s="5">
        <f>IF(B39=FALSE,"",IF(D39="ACHAT",IF(AND(H39&lt;&gt;"",I39&lt;&gt;""),H39*I39,J39),IF(OR(D39="VENTE",D39="PERTE"),-ABS(J39),IF(D39="AJUSTEMENT",J39,""))))</f>
        <v/>
      </c>
      <c r="L39" s="4" t="n"/>
      <c r="M39" s="5">
        <f>IF(OR(L39="",I39=""),"",L39/I39)</f>
        <v/>
      </c>
      <c r="N39" s="5">
        <f>IF(D39&lt;&gt;"ACHAT","",K39*M39)</f>
        <v/>
      </c>
      <c r="O39" s="4" t="n"/>
      <c r="P39" s="5">
        <f>IF(D39&lt;&gt;"VENTE","",ABS(K39)*O39)</f>
        <v/>
      </c>
      <c r="Q39" s="4" t="n"/>
    </row>
    <row r="40">
      <c r="B40" s="4" t="n"/>
      <c r="C40" s="4" t="n"/>
      <c r="D40" s="4" t="n"/>
      <c r="E40" s="4" t="n"/>
      <c r="F40" s="5">
        <f>IF(E40="","",VLOOKUP(E40,Produits!$A:$J,2,FALSE))</f>
        <v/>
      </c>
      <c r="G40" s="5">
        <f>IF(E40="","",VLOOKUP(E40,Produits!$A:$J,3,FALSE))</f>
        <v/>
      </c>
      <c r="H40" s="4" t="n"/>
      <c r="I40" s="4" t="n"/>
      <c r="J40" s="4" t="n"/>
      <c r="K40" s="5">
        <f>IF(B40=FALSE,"",IF(D40="ACHAT",IF(AND(H40&lt;&gt;"",I40&lt;&gt;""),H40*I40,J40),IF(OR(D40="VENTE",D40="PERTE"),-ABS(J40),IF(D40="AJUSTEMENT",J40,""))))</f>
        <v/>
      </c>
      <c r="L40" s="4" t="n"/>
      <c r="M40" s="5">
        <f>IF(OR(L40="",I40=""),"",L40/I40)</f>
        <v/>
      </c>
      <c r="N40" s="5">
        <f>IF(D40&lt;&gt;"ACHAT","",K40*M40)</f>
        <v/>
      </c>
      <c r="O40" s="4" t="n"/>
      <c r="P40" s="5">
        <f>IF(D40&lt;&gt;"VENTE","",ABS(K40)*O40)</f>
        <v/>
      </c>
      <c r="Q40" s="4" t="n"/>
    </row>
    <row r="41">
      <c r="B41" s="4" t="n"/>
      <c r="C41" s="4" t="n"/>
      <c r="D41" s="4" t="n"/>
      <c r="E41" s="4" t="n"/>
      <c r="F41" s="5">
        <f>IF(E41="","",VLOOKUP(E41,Produits!$A:$J,2,FALSE))</f>
        <v/>
      </c>
      <c r="G41" s="5">
        <f>IF(E41="","",VLOOKUP(E41,Produits!$A:$J,3,FALSE))</f>
        <v/>
      </c>
      <c r="H41" s="4" t="n"/>
      <c r="I41" s="4" t="n"/>
      <c r="J41" s="4" t="n"/>
      <c r="K41" s="5">
        <f>IF(B41=FALSE,"",IF(D41="ACHAT",IF(AND(H41&lt;&gt;"",I41&lt;&gt;""),H41*I41,J41),IF(OR(D41="VENTE",D41="PERTE"),-ABS(J41),IF(D41="AJUSTEMENT",J41,""))))</f>
        <v/>
      </c>
      <c r="L41" s="4" t="n"/>
      <c r="M41" s="5">
        <f>IF(OR(L41="",I41=""),"",L41/I41)</f>
        <v/>
      </c>
      <c r="N41" s="5">
        <f>IF(D41&lt;&gt;"ACHAT","",K41*M41)</f>
        <v/>
      </c>
      <c r="O41" s="4" t="n"/>
      <c r="P41" s="5">
        <f>IF(D41&lt;&gt;"VENTE","",ABS(K41)*O41)</f>
        <v/>
      </c>
      <c r="Q41" s="4" t="n"/>
    </row>
    <row r="42">
      <c r="B42" s="4" t="n"/>
      <c r="C42" s="4" t="n"/>
      <c r="D42" s="4" t="n"/>
      <c r="E42" s="4" t="n"/>
      <c r="F42" s="5">
        <f>IF(E42="","",VLOOKUP(E42,Produits!$A:$J,2,FALSE))</f>
        <v/>
      </c>
      <c r="G42" s="5">
        <f>IF(E42="","",VLOOKUP(E42,Produits!$A:$J,3,FALSE))</f>
        <v/>
      </c>
      <c r="H42" s="4" t="n"/>
      <c r="I42" s="4" t="n"/>
      <c r="J42" s="4" t="n"/>
      <c r="K42" s="5">
        <f>IF(B42=FALSE,"",IF(D42="ACHAT",IF(AND(H42&lt;&gt;"",I42&lt;&gt;""),H42*I42,J42),IF(OR(D42="VENTE",D42="PERTE"),-ABS(J42),IF(D42="AJUSTEMENT",J42,""))))</f>
        <v/>
      </c>
      <c r="L42" s="4" t="n"/>
      <c r="M42" s="5">
        <f>IF(OR(L42="",I42=""),"",L42/I42)</f>
        <v/>
      </c>
      <c r="N42" s="5">
        <f>IF(D42&lt;&gt;"ACHAT","",K42*M42)</f>
        <v/>
      </c>
      <c r="O42" s="4" t="n"/>
      <c r="P42" s="5">
        <f>IF(D42&lt;&gt;"VENTE","",ABS(K42)*O42)</f>
        <v/>
      </c>
      <c r="Q42" s="4" t="n"/>
    </row>
    <row r="43">
      <c r="B43" s="4" t="n"/>
      <c r="C43" s="4" t="n"/>
      <c r="D43" s="4" t="n"/>
      <c r="E43" s="4" t="n"/>
      <c r="F43" s="5">
        <f>IF(E43="","",VLOOKUP(E43,Produits!$A:$J,2,FALSE))</f>
        <v/>
      </c>
      <c r="G43" s="5">
        <f>IF(E43="","",VLOOKUP(E43,Produits!$A:$J,3,FALSE))</f>
        <v/>
      </c>
      <c r="H43" s="4" t="n"/>
      <c r="I43" s="4" t="n"/>
      <c r="J43" s="4" t="n"/>
      <c r="K43" s="5">
        <f>IF(B43=FALSE,"",IF(D43="ACHAT",IF(AND(H43&lt;&gt;"",I43&lt;&gt;""),H43*I43,J43),IF(OR(D43="VENTE",D43="PERTE"),-ABS(J43),IF(D43="AJUSTEMENT",J43,""))))</f>
        <v/>
      </c>
      <c r="L43" s="4" t="n"/>
      <c r="M43" s="5">
        <f>IF(OR(L43="",I43=""),"",L43/I43)</f>
        <v/>
      </c>
      <c r="N43" s="5">
        <f>IF(D43&lt;&gt;"ACHAT","",K43*M43)</f>
        <v/>
      </c>
      <c r="O43" s="4" t="n"/>
      <c r="P43" s="5">
        <f>IF(D43&lt;&gt;"VENTE","",ABS(K43)*O43)</f>
        <v/>
      </c>
      <c r="Q43" s="4" t="n"/>
    </row>
    <row r="44">
      <c r="B44" s="4" t="n"/>
      <c r="C44" s="4" t="n"/>
      <c r="D44" s="4" t="n"/>
      <c r="E44" s="4" t="n"/>
      <c r="F44" s="5">
        <f>IF(E44="","",VLOOKUP(E44,Produits!$A:$J,2,FALSE))</f>
        <v/>
      </c>
      <c r="G44" s="5">
        <f>IF(E44="","",VLOOKUP(E44,Produits!$A:$J,3,FALSE))</f>
        <v/>
      </c>
      <c r="H44" s="4" t="n"/>
      <c r="I44" s="4" t="n"/>
      <c r="J44" s="4" t="n"/>
      <c r="K44" s="5">
        <f>IF(B44=FALSE,"",IF(D44="ACHAT",IF(AND(H44&lt;&gt;"",I44&lt;&gt;""),H44*I44,J44),IF(OR(D44="VENTE",D44="PERTE"),-ABS(J44),IF(D44="AJUSTEMENT",J44,""))))</f>
        <v/>
      </c>
      <c r="L44" s="4" t="n"/>
      <c r="M44" s="5">
        <f>IF(OR(L44="",I44=""),"",L44/I44)</f>
        <v/>
      </c>
      <c r="N44" s="5">
        <f>IF(D44&lt;&gt;"ACHAT","",K44*M44)</f>
        <v/>
      </c>
      <c r="O44" s="4" t="n"/>
      <c r="P44" s="5">
        <f>IF(D44&lt;&gt;"VENTE","",ABS(K44)*O44)</f>
        <v/>
      </c>
      <c r="Q44" s="4" t="n"/>
    </row>
    <row r="45">
      <c r="B45" s="4" t="n"/>
      <c r="C45" s="4" t="n"/>
      <c r="D45" s="4" t="n"/>
      <c r="E45" s="4" t="n"/>
      <c r="F45" s="5">
        <f>IF(E45="","",VLOOKUP(E45,Produits!$A:$J,2,FALSE))</f>
        <v/>
      </c>
      <c r="G45" s="5">
        <f>IF(E45="","",VLOOKUP(E45,Produits!$A:$J,3,FALSE))</f>
        <v/>
      </c>
      <c r="H45" s="4" t="n"/>
      <c r="I45" s="4" t="n"/>
      <c r="J45" s="4" t="n"/>
      <c r="K45" s="5">
        <f>IF(B45=FALSE,"",IF(D45="ACHAT",IF(AND(H45&lt;&gt;"",I45&lt;&gt;""),H45*I45,J45),IF(OR(D45="VENTE",D45="PERTE"),-ABS(J45),IF(D45="AJUSTEMENT",J45,""))))</f>
        <v/>
      </c>
      <c r="L45" s="4" t="n"/>
      <c r="M45" s="5">
        <f>IF(OR(L45="",I45=""),"",L45/I45)</f>
        <v/>
      </c>
      <c r="N45" s="5">
        <f>IF(D45&lt;&gt;"ACHAT","",K45*M45)</f>
        <v/>
      </c>
      <c r="O45" s="4" t="n"/>
      <c r="P45" s="5">
        <f>IF(D45&lt;&gt;"VENTE","",ABS(K45)*O45)</f>
        <v/>
      </c>
      <c r="Q45" s="4" t="n"/>
    </row>
    <row r="46">
      <c r="B46" s="4" t="n"/>
      <c r="C46" s="4" t="n"/>
      <c r="D46" s="4" t="n"/>
      <c r="E46" s="4" t="n"/>
      <c r="F46" s="5">
        <f>IF(E46="","",VLOOKUP(E46,Produits!$A:$J,2,FALSE))</f>
        <v/>
      </c>
      <c r="G46" s="5">
        <f>IF(E46="","",VLOOKUP(E46,Produits!$A:$J,3,FALSE))</f>
        <v/>
      </c>
      <c r="H46" s="4" t="n"/>
      <c r="I46" s="4" t="n"/>
      <c r="J46" s="4" t="n"/>
      <c r="K46" s="5">
        <f>IF(B46=FALSE,"",IF(D46="ACHAT",IF(AND(H46&lt;&gt;"",I46&lt;&gt;""),H46*I46,J46),IF(OR(D46="VENTE",D46="PERTE"),-ABS(J46),IF(D46="AJUSTEMENT",J46,""))))</f>
        <v/>
      </c>
      <c r="L46" s="4" t="n"/>
      <c r="M46" s="5">
        <f>IF(OR(L46="",I46=""),"",L46/I46)</f>
        <v/>
      </c>
      <c r="N46" s="5">
        <f>IF(D46&lt;&gt;"ACHAT","",K46*M46)</f>
        <v/>
      </c>
      <c r="O46" s="4" t="n"/>
      <c r="P46" s="5">
        <f>IF(D46&lt;&gt;"VENTE","",ABS(K46)*O46)</f>
        <v/>
      </c>
      <c r="Q46" s="4" t="n"/>
    </row>
    <row r="47">
      <c r="B47" s="4" t="n"/>
      <c r="C47" s="4" t="n"/>
      <c r="D47" s="4" t="n"/>
      <c r="E47" s="4" t="n"/>
      <c r="F47" s="5">
        <f>IF(E47="","",VLOOKUP(E47,Produits!$A:$J,2,FALSE))</f>
        <v/>
      </c>
      <c r="G47" s="5">
        <f>IF(E47="","",VLOOKUP(E47,Produits!$A:$J,3,FALSE))</f>
        <v/>
      </c>
      <c r="H47" s="4" t="n"/>
      <c r="I47" s="4" t="n"/>
      <c r="J47" s="4" t="n"/>
      <c r="K47" s="5">
        <f>IF(B47=FALSE,"",IF(D47="ACHAT",IF(AND(H47&lt;&gt;"",I47&lt;&gt;""),H47*I47,J47),IF(OR(D47="VENTE",D47="PERTE"),-ABS(J47),IF(D47="AJUSTEMENT",J47,""))))</f>
        <v/>
      </c>
      <c r="L47" s="4" t="n"/>
      <c r="M47" s="5">
        <f>IF(OR(L47="",I47=""),"",L47/I47)</f>
        <v/>
      </c>
      <c r="N47" s="5">
        <f>IF(D47&lt;&gt;"ACHAT","",K47*M47)</f>
        <v/>
      </c>
      <c r="O47" s="4" t="n"/>
      <c r="P47" s="5">
        <f>IF(D47&lt;&gt;"VENTE","",ABS(K47)*O47)</f>
        <v/>
      </c>
      <c r="Q47" s="4" t="n"/>
    </row>
    <row r="48">
      <c r="B48" s="4" t="n"/>
      <c r="C48" s="4" t="n"/>
      <c r="D48" s="4" t="n"/>
      <c r="E48" s="4" t="n"/>
      <c r="F48" s="5">
        <f>IF(E48="","",VLOOKUP(E48,Produits!$A:$J,2,FALSE))</f>
        <v/>
      </c>
      <c r="G48" s="5">
        <f>IF(E48="","",VLOOKUP(E48,Produits!$A:$J,3,FALSE))</f>
        <v/>
      </c>
      <c r="H48" s="4" t="n"/>
      <c r="I48" s="4" t="n"/>
      <c r="J48" s="4" t="n"/>
      <c r="K48" s="5">
        <f>IF(B48=FALSE,"",IF(D48="ACHAT",IF(AND(H48&lt;&gt;"",I48&lt;&gt;""),H48*I48,J48),IF(OR(D48="VENTE",D48="PERTE"),-ABS(J48),IF(D48="AJUSTEMENT",J48,""))))</f>
        <v/>
      </c>
      <c r="L48" s="4" t="n"/>
      <c r="M48" s="5">
        <f>IF(OR(L48="",I48=""),"",L48/I48)</f>
        <v/>
      </c>
      <c r="N48" s="5">
        <f>IF(D48&lt;&gt;"ACHAT","",K48*M48)</f>
        <v/>
      </c>
      <c r="O48" s="4" t="n"/>
      <c r="P48" s="5">
        <f>IF(D48&lt;&gt;"VENTE","",ABS(K48)*O48)</f>
        <v/>
      </c>
      <c r="Q48" s="4" t="n"/>
    </row>
    <row r="49">
      <c r="B49" s="4" t="n"/>
      <c r="C49" s="4" t="n"/>
      <c r="D49" s="4" t="n"/>
      <c r="E49" s="4" t="n"/>
      <c r="F49" s="5">
        <f>IF(E49="","",VLOOKUP(E49,Produits!$A:$J,2,FALSE))</f>
        <v/>
      </c>
      <c r="G49" s="5">
        <f>IF(E49="","",VLOOKUP(E49,Produits!$A:$J,3,FALSE))</f>
        <v/>
      </c>
      <c r="H49" s="4" t="n"/>
      <c r="I49" s="4" t="n"/>
      <c r="J49" s="4" t="n"/>
      <c r="K49" s="5">
        <f>IF(B49=FALSE,"",IF(D49="ACHAT",IF(AND(H49&lt;&gt;"",I49&lt;&gt;""),H49*I49,J49),IF(OR(D49="VENTE",D49="PERTE"),-ABS(J49),IF(D49="AJUSTEMENT",J49,""))))</f>
        <v/>
      </c>
      <c r="L49" s="4" t="n"/>
      <c r="M49" s="5">
        <f>IF(OR(L49="",I49=""),"",L49/I49)</f>
        <v/>
      </c>
      <c r="N49" s="5">
        <f>IF(D49&lt;&gt;"ACHAT","",K49*M49)</f>
        <v/>
      </c>
      <c r="O49" s="4" t="n"/>
      <c r="P49" s="5">
        <f>IF(D49&lt;&gt;"VENTE","",ABS(K49)*O49)</f>
        <v/>
      </c>
      <c r="Q49" s="4" t="n"/>
    </row>
    <row r="50">
      <c r="B50" s="4" t="n"/>
      <c r="C50" s="4" t="n"/>
      <c r="D50" s="4" t="n"/>
      <c r="E50" s="4" t="n"/>
      <c r="F50" s="5">
        <f>IF(E50="","",VLOOKUP(E50,Produits!$A:$J,2,FALSE))</f>
        <v/>
      </c>
      <c r="G50" s="5">
        <f>IF(E50="","",VLOOKUP(E50,Produits!$A:$J,3,FALSE))</f>
        <v/>
      </c>
      <c r="H50" s="4" t="n"/>
      <c r="I50" s="4" t="n"/>
      <c r="J50" s="4" t="n"/>
      <c r="K50" s="5">
        <f>IF(B50=FALSE,"",IF(D50="ACHAT",IF(AND(H50&lt;&gt;"",I50&lt;&gt;""),H50*I50,J50),IF(OR(D50="VENTE",D50="PERTE"),-ABS(J50),IF(D50="AJUSTEMENT",J50,""))))</f>
        <v/>
      </c>
      <c r="L50" s="4" t="n"/>
      <c r="M50" s="5">
        <f>IF(OR(L50="",I50=""),"",L50/I50)</f>
        <v/>
      </c>
      <c r="N50" s="5">
        <f>IF(D50&lt;&gt;"ACHAT","",K50*M50)</f>
        <v/>
      </c>
      <c r="O50" s="4" t="n"/>
      <c r="P50" s="5">
        <f>IF(D50&lt;&gt;"VENTE","",ABS(K50)*O50)</f>
        <v/>
      </c>
      <c r="Q50" s="4" t="n"/>
    </row>
    <row r="51">
      <c r="B51" s="4" t="n"/>
      <c r="C51" s="4" t="n"/>
      <c r="D51" s="4" t="n"/>
      <c r="E51" s="4" t="n"/>
      <c r="F51" s="5">
        <f>IF(E51="","",VLOOKUP(E51,Produits!$A:$J,2,FALSE))</f>
        <v/>
      </c>
      <c r="G51" s="5">
        <f>IF(E51="","",VLOOKUP(E51,Produits!$A:$J,3,FALSE))</f>
        <v/>
      </c>
      <c r="H51" s="4" t="n"/>
      <c r="I51" s="4" t="n"/>
      <c r="J51" s="4" t="n"/>
      <c r="K51" s="5">
        <f>IF(B51=FALSE,"",IF(D51="ACHAT",IF(AND(H51&lt;&gt;"",I51&lt;&gt;""),H51*I51,J51),IF(OR(D51="VENTE",D51="PERTE"),-ABS(J51),IF(D51="AJUSTEMENT",J51,""))))</f>
        <v/>
      </c>
      <c r="L51" s="4" t="n"/>
      <c r="M51" s="5">
        <f>IF(OR(L51="",I51=""),"",L51/I51)</f>
        <v/>
      </c>
      <c r="N51" s="5">
        <f>IF(D51&lt;&gt;"ACHAT","",K51*M51)</f>
        <v/>
      </c>
      <c r="O51" s="4" t="n"/>
      <c r="P51" s="5">
        <f>IF(D51&lt;&gt;"VENTE","",ABS(K51)*O51)</f>
        <v/>
      </c>
      <c r="Q51" s="4" t="n"/>
    </row>
    <row r="52">
      <c r="B52" s="4" t="n"/>
      <c r="C52" s="4" t="n"/>
      <c r="D52" s="4" t="n"/>
      <c r="E52" s="4" t="n"/>
      <c r="F52" s="5">
        <f>IF(E52="","",VLOOKUP(E52,Produits!$A:$J,2,FALSE))</f>
        <v/>
      </c>
      <c r="G52" s="5">
        <f>IF(E52="","",VLOOKUP(E52,Produits!$A:$J,3,FALSE))</f>
        <v/>
      </c>
      <c r="H52" s="4" t="n"/>
      <c r="I52" s="4" t="n"/>
      <c r="J52" s="4" t="n"/>
      <c r="K52" s="5">
        <f>IF(B52=FALSE,"",IF(D52="ACHAT",IF(AND(H52&lt;&gt;"",I52&lt;&gt;""),H52*I52,J52),IF(OR(D52="VENTE",D52="PERTE"),-ABS(J52),IF(D52="AJUSTEMENT",J52,""))))</f>
        <v/>
      </c>
      <c r="L52" s="4" t="n"/>
      <c r="M52" s="5">
        <f>IF(OR(L52="",I52=""),"",L52/I52)</f>
        <v/>
      </c>
      <c r="N52" s="5">
        <f>IF(D52&lt;&gt;"ACHAT","",K52*M52)</f>
        <v/>
      </c>
      <c r="O52" s="4" t="n"/>
      <c r="P52" s="5">
        <f>IF(D52&lt;&gt;"VENTE","",ABS(K52)*O52)</f>
        <v/>
      </c>
      <c r="Q52" s="4" t="n"/>
    </row>
    <row r="53">
      <c r="B53" s="4" t="n"/>
      <c r="C53" s="4" t="n"/>
      <c r="D53" s="4" t="n"/>
      <c r="E53" s="4" t="n"/>
      <c r="F53" s="5">
        <f>IF(E53="","",VLOOKUP(E53,Produits!$A:$J,2,FALSE))</f>
        <v/>
      </c>
      <c r="G53" s="5">
        <f>IF(E53="","",VLOOKUP(E53,Produits!$A:$J,3,FALSE))</f>
        <v/>
      </c>
      <c r="H53" s="4" t="n"/>
      <c r="I53" s="4" t="n"/>
      <c r="J53" s="4" t="n"/>
      <c r="K53" s="5">
        <f>IF(B53=FALSE,"",IF(D53="ACHAT",IF(AND(H53&lt;&gt;"",I53&lt;&gt;""),H53*I53,J53),IF(OR(D53="VENTE",D53="PERTE"),-ABS(J53),IF(D53="AJUSTEMENT",J53,""))))</f>
        <v/>
      </c>
      <c r="L53" s="4" t="n"/>
      <c r="M53" s="5">
        <f>IF(OR(L53="",I53=""),"",L53/I53)</f>
        <v/>
      </c>
      <c r="N53" s="5">
        <f>IF(D53&lt;&gt;"ACHAT","",K53*M53)</f>
        <v/>
      </c>
      <c r="O53" s="4" t="n"/>
      <c r="P53" s="5">
        <f>IF(D53&lt;&gt;"VENTE","",ABS(K53)*O53)</f>
        <v/>
      </c>
      <c r="Q53" s="4" t="n"/>
    </row>
    <row r="54">
      <c r="B54" s="4" t="n"/>
      <c r="C54" s="4" t="n"/>
      <c r="D54" s="4" t="n"/>
      <c r="E54" s="4" t="n"/>
      <c r="F54" s="5">
        <f>IF(E54="","",VLOOKUP(E54,Produits!$A:$J,2,FALSE))</f>
        <v/>
      </c>
      <c r="G54" s="5">
        <f>IF(E54="","",VLOOKUP(E54,Produits!$A:$J,3,FALSE))</f>
        <v/>
      </c>
      <c r="H54" s="4" t="n"/>
      <c r="I54" s="4" t="n"/>
      <c r="J54" s="4" t="n"/>
      <c r="K54" s="5">
        <f>IF(B54=FALSE,"",IF(D54="ACHAT",IF(AND(H54&lt;&gt;"",I54&lt;&gt;""),H54*I54,J54),IF(OR(D54="VENTE",D54="PERTE"),-ABS(J54),IF(D54="AJUSTEMENT",J54,""))))</f>
        <v/>
      </c>
      <c r="L54" s="4" t="n"/>
      <c r="M54" s="5">
        <f>IF(OR(L54="",I54=""),"",L54/I54)</f>
        <v/>
      </c>
      <c r="N54" s="5">
        <f>IF(D54&lt;&gt;"ACHAT","",K54*M54)</f>
        <v/>
      </c>
      <c r="O54" s="4" t="n"/>
      <c r="P54" s="5">
        <f>IF(D54&lt;&gt;"VENTE","",ABS(K54)*O54)</f>
        <v/>
      </c>
      <c r="Q54" s="4" t="n"/>
    </row>
    <row r="55">
      <c r="B55" s="4" t="n"/>
      <c r="C55" s="4" t="n"/>
      <c r="D55" s="4" t="n"/>
      <c r="E55" s="4" t="n"/>
      <c r="F55" s="5">
        <f>IF(E55="","",VLOOKUP(E55,Produits!$A:$J,2,FALSE))</f>
        <v/>
      </c>
      <c r="G55" s="5">
        <f>IF(E55="","",VLOOKUP(E55,Produits!$A:$J,3,FALSE))</f>
        <v/>
      </c>
      <c r="H55" s="4" t="n"/>
      <c r="I55" s="4" t="n"/>
      <c r="J55" s="4" t="n"/>
      <c r="K55" s="5">
        <f>IF(B55=FALSE,"",IF(D55="ACHAT",IF(AND(H55&lt;&gt;"",I55&lt;&gt;""),H55*I55,J55),IF(OR(D55="VENTE",D55="PERTE"),-ABS(J55),IF(D55="AJUSTEMENT",J55,""))))</f>
        <v/>
      </c>
      <c r="L55" s="4" t="n"/>
      <c r="M55" s="5">
        <f>IF(OR(L55="",I55=""),"",L55/I55)</f>
        <v/>
      </c>
      <c r="N55" s="5">
        <f>IF(D55&lt;&gt;"ACHAT","",K55*M55)</f>
        <v/>
      </c>
      <c r="O55" s="4" t="n"/>
      <c r="P55" s="5">
        <f>IF(D55&lt;&gt;"VENTE","",ABS(K55)*O55)</f>
        <v/>
      </c>
      <c r="Q55" s="4" t="n"/>
    </row>
    <row r="56">
      <c r="B56" s="4" t="n"/>
      <c r="C56" s="4" t="n"/>
      <c r="D56" s="4" t="n"/>
      <c r="E56" s="4" t="n"/>
      <c r="F56" s="5">
        <f>IF(E56="","",VLOOKUP(E56,Produits!$A:$J,2,FALSE))</f>
        <v/>
      </c>
      <c r="G56" s="5">
        <f>IF(E56="","",VLOOKUP(E56,Produits!$A:$J,3,FALSE))</f>
        <v/>
      </c>
      <c r="H56" s="4" t="n"/>
      <c r="I56" s="4" t="n"/>
      <c r="J56" s="4" t="n"/>
      <c r="K56" s="5">
        <f>IF(B56=FALSE,"",IF(D56="ACHAT",IF(AND(H56&lt;&gt;"",I56&lt;&gt;""),H56*I56,J56),IF(OR(D56="VENTE",D56="PERTE"),-ABS(J56),IF(D56="AJUSTEMENT",J56,""))))</f>
        <v/>
      </c>
      <c r="L56" s="4" t="n"/>
      <c r="M56" s="5">
        <f>IF(OR(L56="",I56=""),"",L56/I56)</f>
        <v/>
      </c>
      <c r="N56" s="5">
        <f>IF(D56&lt;&gt;"ACHAT","",K56*M56)</f>
        <v/>
      </c>
      <c r="O56" s="4" t="n"/>
      <c r="P56" s="5">
        <f>IF(D56&lt;&gt;"VENTE","",ABS(K56)*O56)</f>
        <v/>
      </c>
      <c r="Q56" s="4" t="n"/>
    </row>
    <row r="57">
      <c r="B57" s="4" t="n"/>
      <c r="C57" s="4" t="n"/>
      <c r="D57" s="4" t="n"/>
      <c r="E57" s="4" t="n"/>
      <c r="F57" s="5">
        <f>IF(E57="","",VLOOKUP(E57,Produits!$A:$J,2,FALSE))</f>
        <v/>
      </c>
      <c r="G57" s="5">
        <f>IF(E57="","",VLOOKUP(E57,Produits!$A:$J,3,FALSE))</f>
        <v/>
      </c>
      <c r="H57" s="4" t="n"/>
      <c r="I57" s="4" t="n"/>
      <c r="J57" s="4" t="n"/>
      <c r="K57" s="5">
        <f>IF(B57=FALSE,"",IF(D57="ACHAT",IF(AND(H57&lt;&gt;"",I57&lt;&gt;""),H57*I57,J57),IF(OR(D57="VENTE",D57="PERTE"),-ABS(J57),IF(D57="AJUSTEMENT",J57,""))))</f>
        <v/>
      </c>
      <c r="L57" s="4" t="n"/>
      <c r="M57" s="5">
        <f>IF(OR(L57="",I57=""),"",L57/I57)</f>
        <v/>
      </c>
      <c r="N57" s="5">
        <f>IF(D57&lt;&gt;"ACHAT","",K57*M57)</f>
        <v/>
      </c>
      <c r="O57" s="4" t="n"/>
      <c r="P57" s="5">
        <f>IF(D57&lt;&gt;"VENTE","",ABS(K57)*O57)</f>
        <v/>
      </c>
      <c r="Q57" s="4" t="n"/>
    </row>
    <row r="58">
      <c r="B58" s="4" t="n"/>
      <c r="C58" s="4" t="n"/>
      <c r="D58" s="4" t="n"/>
      <c r="E58" s="4" t="n"/>
      <c r="F58" s="5">
        <f>IF(E58="","",VLOOKUP(E58,Produits!$A:$J,2,FALSE))</f>
        <v/>
      </c>
      <c r="G58" s="5">
        <f>IF(E58="","",VLOOKUP(E58,Produits!$A:$J,3,FALSE))</f>
        <v/>
      </c>
      <c r="H58" s="4" t="n"/>
      <c r="I58" s="4" t="n"/>
      <c r="J58" s="4" t="n"/>
      <c r="K58" s="5">
        <f>IF(B58=FALSE,"",IF(D58="ACHAT",IF(AND(H58&lt;&gt;"",I58&lt;&gt;""),H58*I58,J58),IF(OR(D58="VENTE",D58="PERTE"),-ABS(J58),IF(D58="AJUSTEMENT",J58,""))))</f>
        <v/>
      </c>
      <c r="L58" s="4" t="n"/>
      <c r="M58" s="5">
        <f>IF(OR(L58="",I58=""),"",L58/I58)</f>
        <v/>
      </c>
      <c r="N58" s="5">
        <f>IF(D58&lt;&gt;"ACHAT","",K58*M58)</f>
        <v/>
      </c>
      <c r="O58" s="4" t="n"/>
      <c r="P58" s="5">
        <f>IF(D58&lt;&gt;"VENTE","",ABS(K58)*O58)</f>
        <v/>
      </c>
      <c r="Q58" s="4" t="n"/>
    </row>
    <row r="59">
      <c r="B59" s="4" t="n"/>
      <c r="C59" s="4" t="n"/>
      <c r="D59" s="4" t="n"/>
      <c r="E59" s="4" t="n"/>
      <c r="F59" s="5">
        <f>IF(E59="","",VLOOKUP(E59,Produits!$A:$J,2,FALSE))</f>
        <v/>
      </c>
      <c r="G59" s="5">
        <f>IF(E59="","",VLOOKUP(E59,Produits!$A:$J,3,FALSE))</f>
        <v/>
      </c>
      <c r="H59" s="4" t="n"/>
      <c r="I59" s="4" t="n"/>
      <c r="J59" s="4" t="n"/>
      <c r="K59" s="5">
        <f>IF(B59=FALSE,"",IF(D59="ACHAT",IF(AND(H59&lt;&gt;"",I59&lt;&gt;""),H59*I59,J59),IF(OR(D59="VENTE",D59="PERTE"),-ABS(J59),IF(D59="AJUSTEMENT",J59,""))))</f>
        <v/>
      </c>
      <c r="L59" s="4" t="n"/>
      <c r="M59" s="5">
        <f>IF(OR(L59="",I59=""),"",L59/I59)</f>
        <v/>
      </c>
      <c r="N59" s="5">
        <f>IF(D59&lt;&gt;"ACHAT","",K59*M59)</f>
        <v/>
      </c>
      <c r="O59" s="4" t="n"/>
      <c r="P59" s="5">
        <f>IF(D59&lt;&gt;"VENTE","",ABS(K59)*O59)</f>
        <v/>
      </c>
      <c r="Q59" s="4" t="n"/>
    </row>
    <row r="60">
      <c r="B60" s="4" t="n"/>
      <c r="C60" s="4" t="n"/>
      <c r="D60" s="4" t="n"/>
      <c r="E60" s="4" t="n"/>
      <c r="F60" s="5">
        <f>IF(E60="","",VLOOKUP(E60,Produits!$A:$J,2,FALSE))</f>
        <v/>
      </c>
      <c r="G60" s="5">
        <f>IF(E60="","",VLOOKUP(E60,Produits!$A:$J,3,FALSE))</f>
        <v/>
      </c>
      <c r="H60" s="4" t="n"/>
      <c r="I60" s="4" t="n"/>
      <c r="J60" s="4" t="n"/>
      <c r="K60" s="5">
        <f>IF(B60=FALSE,"",IF(D60="ACHAT",IF(AND(H60&lt;&gt;"",I60&lt;&gt;""),H60*I60,J60),IF(OR(D60="VENTE",D60="PERTE"),-ABS(J60),IF(D60="AJUSTEMENT",J60,""))))</f>
        <v/>
      </c>
      <c r="L60" s="4" t="n"/>
      <c r="M60" s="5">
        <f>IF(OR(L60="",I60=""),"",L60/I60)</f>
        <v/>
      </c>
      <c r="N60" s="5">
        <f>IF(D60&lt;&gt;"ACHAT","",K60*M60)</f>
        <v/>
      </c>
      <c r="O60" s="4" t="n"/>
      <c r="P60" s="5">
        <f>IF(D60&lt;&gt;"VENTE","",ABS(K60)*O60)</f>
        <v/>
      </c>
      <c r="Q60" s="4" t="n"/>
    </row>
    <row r="61">
      <c r="B61" s="4" t="n"/>
      <c r="C61" s="4" t="n"/>
      <c r="D61" s="4" t="n"/>
      <c r="E61" s="4" t="n"/>
      <c r="F61" s="5">
        <f>IF(E61="","",VLOOKUP(E61,Produits!$A:$J,2,FALSE))</f>
        <v/>
      </c>
      <c r="G61" s="5">
        <f>IF(E61="","",VLOOKUP(E61,Produits!$A:$J,3,FALSE))</f>
        <v/>
      </c>
      <c r="H61" s="4" t="n"/>
      <c r="I61" s="4" t="n"/>
      <c r="J61" s="4" t="n"/>
      <c r="K61" s="5">
        <f>IF(B61=FALSE,"",IF(D61="ACHAT",IF(AND(H61&lt;&gt;"",I61&lt;&gt;""),H61*I61,J61),IF(OR(D61="VENTE",D61="PERTE"),-ABS(J61),IF(D61="AJUSTEMENT",J61,""))))</f>
        <v/>
      </c>
      <c r="L61" s="4" t="n"/>
      <c r="M61" s="5">
        <f>IF(OR(L61="",I61=""),"",L61/I61)</f>
        <v/>
      </c>
      <c r="N61" s="5">
        <f>IF(D61&lt;&gt;"ACHAT","",K61*M61)</f>
        <v/>
      </c>
      <c r="O61" s="4" t="n"/>
      <c r="P61" s="5">
        <f>IF(D61&lt;&gt;"VENTE","",ABS(K61)*O61)</f>
        <v/>
      </c>
      <c r="Q61" s="4" t="n"/>
    </row>
    <row r="62">
      <c r="B62" s="4" t="n"/>
      <c r="C62" s="4" t="n"/>
      <c r="D62" s="4" t="n"/>
      <c r="E62" s="4" t="n"/>
      <c r="F62" s="5">
        <f>IF(E62="","",VLOOKUP(E62,Produits!$A:$J,2,FALSE))</f>
        <v/>
      </c>
      <c r="G62" s="5">
        <f>IF(E62="","",VLOOKUP(E62,Produits!$A:$J,3,FALSE))</f>
        <v/>
      </c>
      <c r="H62" s="4" t="n"/>
      <c r="I62" s="4" t="n"/>
      <c r="J62" s="4" t="n"/>
      <c r="K62" s="5">
        <f>IF(B62=FALSE,"",IF(D62="ACHAT",IF(AND(H62&lt;&gt;"",I62&lt;&gt;""),H62*I62,J62),IF(OR(D62="VENTE",D62="PERTE"),-ABS(J62),IF(D62="AJUSTEMENT",J62,""))))</f>
        <v/>
      </c>
      <c r="L62" s="4" t="n"/>
      <c r="M62" s="5">
        <f>IF(OR(L62="",I62=""),"",L62/I62)</f>
        <v/>
      </c>
      <c r="N62" s="5">
        <f>IF(D62&lt;&gt;"ACHAT","",K62*M62)</f>
        <v/>
      </c>
      <c r="O62" s="4" t="n"/>
      <c r="P62" s="5">
        <f>IF(D62&lt;&gt;"VENTE","",ABS(K62)*O62)</f>
        <v/>
      </c>
      <c r="Q62" s="4" t="n"/>
    </row>
    <row r="63">
      <c r="B63" s="4" t="n"/>
      <c r="C63" s="4" t="n"/>
      <c r="D63" s="4" t="n"/>
      <c r="E63" s="4" t="n"/>
      <c r="F63" s="5">
        <f>IF(E63="","",VLOOKUP(E63,Produits!$A:$J,2,FALSE))</f>
        <v/>
      </c>
      <c r="G63" s="5">
        <f>IF(E63="","",VLOOKUP(E63,Produits!$A:$J,3,FALSE))</f>
        <v/>
      </c>
      <c r="H63" s="4" t="n"/>
      <c r="I63" s="4" t="n"/>
      <c r="J63" s="4" t="n"/>
      <c r="K63" s="5">
        <f>IF(B63=FALSE,"",IF(D63="ACHAT",IF(AND(H63&lt;&gt;"",I63&lt;&gt;""),H63*I63,J63),IF(OR(D63="VENTE",D63="PERTE"),-ABS(J63),IF(D63="AJUSTEMENT",J63,""))))</f>
        <v/>
      </c>
      <c r="L63" s="4" t="n"/>
      <c r="M63" s="5">
        <f>IF(OR(L63="",I63=""),"",L63/I63)</f>
        <v/>
      </c>
      <c r="N63" s="5">
        <f>IF(D63&lt;&gt;"ACHAT","",K63*M63)</f>
        <v/>
      </c>
      <c r="O63" s="4" t="n"/>
      <c r="P63" s="5">
        <f>IF(D63&lt;&gt;"VENTE","",ABS(K63)*O63)</f>
        <v/>
      </c>
      <c r="Q63" s="4" t="n"/>
    </row>
    <row r="64">
      <c r="B64" s="4" t="n"/>
      <c r="C64" s="4" t="n"/>
      <c r="D64" s="4" t="n"/>
      <c r="E64" s="4" t="n"/>
      <c r="F64" s="5">
        <f>IF(E64="","",VLOOKUP(E64,Produits!$A:$J,2,FALSE))</f>
        <v/>
      </c>
      <c r="G64" s="5">
        <f>IF(E64="","",VLOOKUP(E64,Produits!$A:$J,3,FALSE))</f>
        <v/>
      </c>
      <c r="H64" s="4" t="n"/>
      <c r="I64" s="4" t="n"/>
      <c r="J64" s="4" t="n"/>
      <c r="K64" s="5">
        <f>IF(B64=FALSE,"",IF(D64="ACHAT",IF(AND(H64&lt;&gt;"",I64&lt;&gt;""),H64*I64,J64),IF(OR(D64="VENTE",D64="PERTE"),-ABS(J64),IF(D64="AJUSTEMENT",J64,""))))</f>
        <v/>
      </c>
      <c r="L64" s="4" t="n"/>
      <c r="M64" s="5">
        <f>IF(OR(L64="",I64=""),"",L64/I64)</f>
        <v/>
      </c>
      <c r="N64" s="5">
        <f>IF(D64&lt;&gt;"ACHAT","",K64*M64)</f>
        <v/>
      </c>
      <c r="O64" s="4" t="n"/>
      <c r="P64" s="5">
        <f>IF(D64&lt;&gt;"VENTE","",ABS(K64)*O64)</f>
        <v/>
      </c>
      <c r="Q64" s="4" t="n"/>
    </row>
    <row r="65">
      <c r="B65" s="4" t="n"/>
      <c r="C65" s="4" t="n"/>
      <c r="D65" s="4" t="n"/>
      <c r="E65" s="4" t="n"/>
      <c r="F65" s="5">
        <f>IF(E65="","",VLOOKUP(E65,Produits!$A:$J,2,FALSE))</f>
        <v/>
      </c>
      <c r="G65" s="5">
        <f>IF(E65="","",VLOOKUP(E65,Produits!$A:$J,3,FALSE))</f>
        <v/>
      </c>
      <c r="H65" s="4" t="n"/>
      <c r="I65" s="4" t="n"/>
      <c r="J65" s="4" t="n"/>
      <c r="K65" s="5">
        <f>IF(B65=FALSE,"",IF(D65="ACHAT",IF(AND(H65&lt;&gt;"",I65&lt;&gt;""),H65*I65,J65),IF(OR(D65="VENTE",D65="PERTE"),-ABS(J65),IF(D65="AJUSTEMENT",J65,""))))</f>
        <v/>
      </c>
      <c r="L65" s="4" t="n"/>
      <c r="M65" s="5">
        <f>IF(OR(L65="",I65=""),"",L65/I65)</f>
        <v/>
      </c>
      <c r="N65" s="5">
        <f>IF(D65&lt;&gt;"ACHAT","",K65*M65)</f>
        <v/>
      </c>
      <c r="O65" s="4" t="n"/>
      <c r="P65" s="5">
        <f>IF(D65&lt;&gt;"VENTE","",ABS(K65)*O65)</f>
        <v/>
      </c>
      <c r="Q65" s="4" t="n"/>
    </row>
    <row r="66">
      <c r="B66" s="4" t="n"/>
      <c r="C66" s="4" t="n"/>
      <c r="D66" s="4" t="n"/>
      <c r="E66" s="4" t="n"/>
      <c r="F66" s="5">
        <f>IF(E66="","",VLOOKUP(E66,Produits!$A:$J,2,FALSE))</f>
        <v/>
      </c>
      <c r="G66" s="5">
        <f>IF(E66="","",VLOOKUP(E66,Produits!$A:$J,3,FALSE))</f>
        <v/>
      </c>
      <c r="H66" s="4" t="n"/>
      <c r="I66" s="4" t="n"/>
      <c r="J66" s="4" t="n"/>
      <c r="K66" s="5">
        <f>IF(B66=FALSE,"",IF(D66="ACHAT",IF(AND(H66&lt;&gt;"",I66&lt;&gt;""),H66*I66,J66),IF(OR(D66="VENTE",D66="PERTE"),-ABS(J66),IF(D66="AJUSTEMENT",J66,""))))</f>
        <v/>
      </c>
      <c r="L66" s="4" t="n"/>
      <c r="M66" s="5">
        <f>IF(OR(L66="",I66=""),"",L66/I66)</f>
        <v/>
      </c>
      <c r="N66" s="5">
        <f>IF(D66&lt;&gt;"ACHAT","",K66*M66)</f>
        <v/>
      </c>
      <c r="O66" s="4" t="n"/>
      <c r="P66" s="5">
        <f>IF(D66&lt;&gt;"VENTE","",ABS(K66)*O66)</f>
        <v/>
      </c>
      <c r="Q66" s="4" t="n"/>
    </row>
    <row r="67">
      <c r="B67" s="4" t="n"/>
      <c r="C67" s="4" t="n"/>
      <c r="D67" s="4" t="n"/>
      <c r="E67" s="4" t="n"/>
      <c r="F67" s="5">
        <f>IF(E67="","",VLOOKUP(E67,Produits!$A:$J,2,FALSE))</f>
        <v/>
      </c>
      <c r="G67" s="5">
        <f>IF(E67="","",VLOOKUP(E67,Produits!$A:$J,3,FALSE))</f>
        <v/>
      </c>
      <c r="H67" s="4" t="n"/>
      <c r="I67" s="4" t="n"/>
      <c r="J67" s="4" t="n"/>
      <c r="K67" s="5">
        <f>IF(B67=FALSE,"",IF(D67="ACHAT",IF(AND(H67&lt;&gt;"",I67&lt;&gt;""),H67*I67,J67),IF(OR(D67="VENTE",D67="PERTE"),-ABS(J67),IF(D67="AJUSTEMENT",J67,""))))</f>
        <v/>
      </c>
      <c r="L67" s="4" t="n"/>
      <c r="M67" s="5">
        <f>IF(OR(L67="",I67=""),"",L67/I67)</f>
        <v/>
      </c>
      <c r="N67" s="5">
        <f>IF(D67&lt;&gt;"ACHAT","",K67*M67)</f>
        <v/>
      </c>
      <c r="O67" s="4" t="n"/>
      <c r="P67" s="5">
        <f>IF(D67&lt;&gt;"VENTE","",ABS(K67)*O67)</f>
        <v/>
      </c>
      <c r="Q67" s="4" t="n"/>
    </row>
    <row r="68">
      <c r="B68" s="4" t="n"/>
      <c r="C68" s="4" t="n"/>
      <c r="D68" s="4" t="n"/>
      <c r="E68" s="4" t="n"/>
      <c r="F68" s="5">
        <f>IF(E68="","",VLOOKUP(E68,Produits!$A:$J,2,FALSE))</f>
        <v/>
      </c>
      <c r="G68" s="5">
        <f>IF(E68="","",VLOOKUP(E68,Produits!$A:$J,3,FALSE))</f>
        <v/>
      </c>
      <c r="H68" s="4" t="n"/>
      <c r="I68" s="4" t="n"/>
      <c r="J68" s="4" t="n"/>
      <c r="K68" s="5">
        <f>IF(B68=FALSE,"",IF(D68="ACHAT",IF(AND(H68&lt;&gt;"",I68&lt;&gt;""),H68*I68,J68),IF(OR(D68="VENTE",D68="PERTE"),-ABS(J68),IF(D68="AJUSTEMENT",J68,""))))</f>
        <v/>
      </c>
      <c r="L68" s="4" t="n"/>
      <c r="M68" s="5">
        <f>IF(OR(L68="",I68=""),"",L68/I68)</f>
        <v/>
      </c>
      <c r="N68" s="5">
        <f>IF(D68&lt;&gt;"ACHAT","",K68*M68)</f>
        <v/>
      </c>
      <c r="O68" s="4" t="n"/>
      <c r="P68" s="5">
        <f>IF(D68&lt;&gt;"VENTE","",ABS(K68)*O68)</f>
        <v/>
      </c>
      <c r="Q68" s="4" t="n"/>
    </row>
    <row r="69">
      <c r="B69" s="4" t="n"/>
      <c r="C69" s="4" t="n"/>
      <c r="D69" s="4" t="n"/>
      <c r="E69" s="4" t="n"/>
      <c r="F69" s="5">
        <f>IF(E69="","",VLOOKUP(E69,Produits!$A:$J,2,FALSE))</f>
        <v/>
      </c>
      <c r="G69" s="5">
        <f>IF(E69="","",VLOOKUP(E69,Produits!$A:$J,3,FALSE))</f>
        <v/>
      </c>
      <c r="H69" s="4" t="n"/>
      <c r="I69" s="4" t="n"/>
      <c r="J69" s="4" t="n"/>
      <c r="K69" s="5">
        <f>IF(B69=FALSE,"",IF(D69="ACHAT",IF(AND(H69&lt;&gt;"",I69&lt;&gt;""),H69*I69,J69),IF(OR(D69="VENTE",D69="PERTE"),-ABS(J69),IF(D69="AJUSTEMENT",J69,""))))</f>
        <v/>
      </c>
      <c r="L69" s="4" t="n"/>
      <c r="M69" s="5">
        <f>IF(OR(L69="",I69=""),"",L69/I69)</f>
        <v/>
      </c>
      <c r="N69" s="5">
        <f>IF(D69&lt;&gt;"ACHAT","",K69*M69)</f>
        <v/>
      </c>
      <c r="O69" s="4" t="n"/>
      <c r="P69" s="5">
        <f>IF(D69&lt;&gt;"VENTE","",ABS(K69)*O69)</f>
        <v/>
      </c>
      <c r="Q69" s="4" t="n"/>
    </row>
    <row r="70">
      <c r="B70" s="4" t="n"/>
      <c r="C70" s="4" t="n"/>
      <c r="D70" s="4" t="n"/>
      <c r="E70" s="4" t="n"/>
      <c r="F70" s="5">
        <f>IF(E70="","",VLOOKUP(E70,Produits!$A:$J,2,FALSE))</f>
        <v/>
      </c>
      <c r="G70" s="5">
        <f>IF(E70="","",VLOOKUP(E70,Produits!$A:$J,3,FALSE))</f>
        <v/>
      </c>
      <c r="H70" s="4" t="n"/>
      <c r="I70" s="4" t="n"/>
      <c r="J70" s="4" t="n"/>
      <c r="K70" s="5">
        <f>IF(B70=FALSE,"",IF(D70="ACHAT",IF(AND(H70&lt;&gt;"",I70&lt;&gt;""),H70*I70,J70),IF(OR(D70="VENTE",D70="PERTE"),-ABS(J70),IF(D70="AJUSTEMENT",J70,""))))</f>
        <v/>
      </c>
      <c r="L70" s="4" t="n"/>
      <c r="M70" s="5">
        <f>IF(OR(L70="",I70=""),"",L70/I70)</f>
        <v/>
      </c>
      <c r="N70" s="5">
        <f>IF(D70&lt;&gt;"ACHAT","",K70*M70)</f>
        <v/>
      </c>
      <c r="O70" s="4" t="n"/>
      <c r="P70" s="5">
        <f>IF(D70&lt;&gt;"VENTE","",ABS(K70)*O70)</f>
        <v/>
      </c>
      <c r="Q70" s="4" t="n"/>
    </row>
    <row r="71">
      <c r="B71" s="4" t="n"/>
      <c r="C71" s="4" t="n"/>
      <c r="D71" s="4" t="n"/>
      <c r="E71" s="4" t="n"/>
      <c r="F71" s="5">
        <f>IF(E71="","",VLOOKUP(E71,Produits!$A:$J,2,FALSE))</f>
        <v/>
      </c>
      <c r="G71" s="5">
        <f>IF(E71="","",VLOOKUP(E71,Produits!$A:$J,3,FALSE))</f>
        <v/>
      </c>
      <c r="H71" s="4" t="n"/>
      <c r="I71" s="4" t="n"/>
      <c r="J71" s="4" t="n"/>
      <c r="K71" s="5">
        <f>IF(B71=FALSE,"",IF(D71="ACHAT",IF(AND(H71&lt;&gt;"",I71&lt;&gt;""),H71*I71,J71),IF(OR(D71="VENTE",D71="PERTE"),-ABS(J71),IF(D71="AJUSTEMENT",J71,""))))</f>
        <v/>
      </c>
      <c r="L71" s="4" t="n"/>
      <c r="M71" s="5">
        <f>IF(OR(L71="",I71=""),"",L71/I71)</f>
        <v/>
      </c>
      <c r="N71" s="5">
        <f>IF(D71&lt;&gt;"ACHAT","",K71*M71)</f>
        <v/>
      </c>
      <c r="O71" s="4" t="n"/>
      <c r="P71" s="5">
        <f>IF(D71&lt;&gt;"VENTE","",ABS(K71)*O71)</f>
        <v/>
      </c>
      <c r="Q71" s="4" t="n"/>
    </row>
    <row r="72">
      <c r="B72" s="4" t="n"/>
      <c r="C72" s="4" t="n"/>
      <c r="D72" s="4" t="n"/>
      <c r="E72" s="4" t="n"/>
      <c r="F72" s="5">
        <f>IF(E72="","",VLOOKUP(E72,Produits!$A:$J,2,FALSE))</f>
        <v/>
      </c>
      <c r="G72" s="5">
        <f>IF(E72="","",VLOOKUP(E72,Produits!$A:$J,3,FALSE))</f>
        <v/>
      </c>
      <c r="H72" s="4" t="n"/>
      <c r="I72" s="4" t="n"/>
      <c r="J72" s="4" t="n"/>
      <c r="K72" s="5">
        <f>IF(B72=FALSE,"",IF(D72="ACHAT",IF(AND(H72&lt;&gt;"",I72&lt;&gt;""),H72*I72,J72),IF(OR(D72="VENTE",D72="PERTE"),-ABS(J72),IF(D72="AJUSTEMENT",J72,""))))</f>
        <v/>
      </c>
      <c r="L72" s="4" t="n"/>
      <c r="M72" s="5">
        <f>IF(OR(L72="",I72=""),"",L72/I72)</f>
        <v/>
      </c>
      <c r="N72" s="5">
        <f>IF(D72&lt;&gt;"ACHAT","",K72*M72)</f>
        <v/>
      </c>
      <c r="O72" s="4" t="n"/>
      <c r="P72" s="5">
        <f>IF(D72&lt;&gt;"VENTE","",ABS(K72)*O72)</f>
        <v/>
      </c>
      <c r="Q72" s="4" t="n"/>
    </row>
    <row r="73">
      <c r="B73" s="4" t="n"/>
      <c r="C73" s="4" t="n"/>
      <c r="D73" s="4" t="n"/>
      <c r="E73" s="4" t="n"/>
      <c r="F73" s="5">
        <f>IF(E73="","",VLOOKUP(E73,Produits!$A:$J,2,FALSE))</f>
        <v/>
      </c>
      <c r="G73" s="5">
        <f>IF(E73="","",VLOOKUP(E73,Produits!$A:$J,3,FALSE))</f>
        <v/>
      </c>
      <c r="H73" s="4" t="n"/>
      <c r="I73" s="4" t="n"/>
      <c r="J73" s="4" t="n"/>
      <c r="K73" s="5">
        <f>IF(B73=FALSE,"",IF(D73="ACHAT",IF(AND(H73&lt;&gt;"",I73&lt;&gt;""),H73*I73,J73),IF(OR(D73="VENTE",D73="PERTE"),-ABS(J73),IF(D73="AJUSTEMENT",J73,""))))</f>
        <v/>
      </c>
      <c r="L73" s="4" t="n"/>
      <c r="M73" s="5">
        <f>IF(OR(L73="",I73=""),"",L73/I73)</f>
        <v/>
      </c>
      <c r="N73" s="5">
        <f>IF(D73&lt;&gt;"ACHAT","",K73*M73)</f>
        <v/>
      </c>
      <c r="O73" s="4" t="n"/>
      <c r="P73" s="5">
        <f>IF(D73&lt;&gt;"VENTE","",ABS(K73)*O73)</f>
        <v/>
      </c>
      <c r="Q73" s="4" t="n"/>
    </row>
    <row r="74">
      <c r="B74" s="4" t="n"/>
      <c r="C74" s="4" t="n"/>
      <c r="D74" s="4" t="n"/>
      <c r="E74" s="4" t="n"/>
      <c r="F74" s="5">
        <f>IF(E74="","",VLOOKUP(E74,Produits!$A:$J,2,FALSE))</f>
        <v/>
      </c>
      <c r="G74" s="5">
        <f>IF(E74="","",VLOOKUP(E74,Produits!$A:$J,3,FALSE))</f>
        <v/>
      </c>
      <c r="H74" s="4" t="n"/>
      <c r="I74" s="4" t="n"/>
      <c r="J74" s="4" t="n"/>
      <c r="K74" s="5">
        <f>IF(B74=FALSE,"",IF(D74="ACHAT",IF(AND(H74&lt;&gt;"",I74&lt;&gt;""),H74*I74,J74),IF(OR(D74="VENTE",D74="PERTE"),-ABS(J74),IF(D74="AJUSTEMENT",J74,""))))</f>
        <v/>
      </c>
      <c r="L74" s="4" t="n"/>
      <c r="M74" s="5">
        <f>IF(OR(L74="",I74=""),"",L74/I74)</f>
        <v/>
      </c>
      <c r="N74" s="5">
        <f>IF(D74&lt;&gt;"ACHAT","",K74*M74)</f>
        <v/>
      </c>
      <c r="O74" s="4" t="n"/>
      <c r="P74" s="5">
        <f>IF(D74&lt;&gt;"VENTE","",ABS(K74)*O74)</f>
        <v/>
      </c>
      <c r="Q74" s="4" t="n"/>
    </row>
    <row r="75">
      <c r="B75" s="4" t="n"/>
      <c r="C75" s="4" t="n"/>
      <c r="D75" s="4" t="n"/>
      <c r="E75" s="4" t="n"/>
      <c r="F75" s="5">
        <f>IF(E75="","",VLOOKUP(E75,Produits!$A:$J,2,FALSE))</f>
        <v/>
      </c>
      <c r="G75" s="5">
        <f>IF(E75="","",VLOOKUP(E75,Produits!$A:$J,3,FALSE))</f>
        <v/>
      </c>
      <c r="H75" s="4" t="n"/>
      <c r="I75" s="4" t="n"/>
      <c r="J75" s="4" t="n"/>
      <c r="K75" s="5">
        <f>IF(B75=FALSE,"",IF(D75="ACHAT",IF(AND(H75&lt;&gt;"",I75&lt;&gt;""),H75*I75,J75),IF(OR(D75="VENTE",D75="PERTE"),-ABS(J75),IF(D75="AJUSTEMENT",J75,""))))</f>
        <v/>
      </c>
      <c r="L75" s="4" t="n"/>
      <c r="M75" s="5">
        <f>IF(OR(L75="",I75=""),"",L75/I75)</f>
        <v/>
      </c>
      <c r="N75" s="5">
        <f>IF(D75&lt;&gt;"ACHAT","",K75*M75)</f>
        <v/>
      </c>
      <c r="O75" s="4" t="n"/>
      <c r="P75" s="5">
        <f>IF(D75&lt;&gt;"VENTE","",ABS(K75)*O75)</f>
        <v/>
      </c>
      <c r="Q75" s="4" t="n"/>
    </row>
    <row r="76">
      <c r="B76" s="4" t="n"/>
      <c r="C76" s="4" t="n"/>
      <c r="D76" s="4" t="n"/>
      <c r="E76" s="4" t="n"/>
      <c r="F76" s="5">
        <f>IF(E76="","",VLOOKUP(E76,Produits!$A:$J,2,FALSE))</f>
        <v/>
      </c>
      <c r="G76" s="5">
        <f>IF(E76="","",VLOOKUP(E76,Produits!$A:$J,3,FALSE))</f>
        <v/>
      </c>
      <c r="H76" s="4" t="n"/>
      <c r="I76" s="4" t="n"/>
      <c r="J76" s="4" t="n"/>
      <c r="K76" s="5">
        <f>IF(B76=FALSE,"",IF(D76="ACHAT",IF(AND(H76&lt;&gt;"",I76&lt;&gt;""),H76*I76,J76),IF(OR(D76="VENTE",D76="PERTE"),-ABS(J76),IF(D76="AJUSTEMENT",J76,""))))</f>
        <v/>
      </c>
      <c r="L76" s="4" t="n"/>
      <c r="M76" s="5">
        <f>IF(OR(L76="",I76=""),"",L76/I76)</f>
        <v/>
      </c>
      <c r="N76" s="5">
        <f>IF(D76&lt;&gt;"ACHAT","",K76*M76)</f>
        <v/>
      </c>
      <c r="O76" s="4" t="n"/>
      <c r="P76" s="5">
        <f>IF(D76&lt;&gt;"VENTE","",ABS(K76)*O76)</f>
        <v/>
      </c>
      <c r="Q76" s="4" t="n"/>
    </row>
    <row r="77">
      <c r="B77" s="4" t="n"/>
      <c r="C77" s="4" t="n"/>
      <c r="D77" s="4" t="n"/>
      <c r="E77" s="4" t="n"/>
      <c r="F77" s="5">
        <f>IF(E77="","",VLOOKUP(E77,Produits!$A:$J,2,FALSE))</f>
        <v/>
      </c>
      <c r="G77" s="5">
        <f>IF(E77="","",VLOOKUP(E77,Produits!$A:$J,3,FALSE))</f>
        <v/>
      </c>
      <c r="H77" s="4" t="n"/>
      <c r="I77" s="4" t="n"/>
      <c r="J77" s="4" t="n"/>
      <c r="K77" s="5">
        <f>IF(B77=FALSE,"",IF(D77="ACHAT",IF(AND(H77&lt;&gt;"",I77&lt;&gt;""),H77*I77,J77),IF(OR(D77="VENTE",D77="PERTE"),-ABS(J77),IF(D77="AJUSTEMENT",J77,""))))</f>
        <v/>
      </c>
      <c r="L77" s="4" t="n"/>
      <c r="M77" s="5">
        <f>IF(OR(L77="",I77=""),"",L77/I77)</f>
        <v/>
      </c>
      <c r="N77" s="5">
        <f>IF(D77&lt;&gt;"ACHAT","",K77*M77)</f>
        <v/>
      </c>
      <c r="O77" s="4" t="n"/>
      <c r="P77" s="5">
        <f>IF(D77&lt;&gt;"VENTE","",ABS(K77)*O77)</f>
        <v/>
      </c>
      <c r="Q77" s="4" t="n"/>
    </row>
    <row r="78">
      <c r="B78" s="4" t="n"/>
      <c r="C78" s="4" t="n"/>
      <c r="D78" s="4" t="n"/>
      <c r="E78" s="4" t="n"/>
      <c r="F78" s="5">
        <f>IF(E78="","",VLOOKUP(E78,Produits!$A:$J,2,FALSE))</f>
        <v/>
      </c>
      <c r="G78" s="5">
        <f>IF(E78="","",VLOOKUP(E78,Produits!$A:$J,3,FALSE))</f>
        <v/>
      </c>
      <c r="H78" s="4" t="n"/>
      <c r="I78" s="4" t="n"/>
      <c r="J78" s="4" t="n"/>
      <c r="K78" s="5">
        <f>IF(B78=FALSE,"",IF(D78="ACHAT",IF(AND(H78&lt;&gt;"",I78&lt;&gt;""),H78*I78,J78),IF(OR(D78="VENTE",D78="PERTE"),-ABS(J78),IF(D78="AJUSTEMENT",J78,""))))</f>
        <v/>
      </c>
      <c r="L78" s="4" t="n"/>
      <c r="M78" s="5">
        <f>IF(OR(L78="",I78=""),"",L78/I78)</f>
        <v/>
      </c>
      <c r="N78" s="5">
        <f>IF(D78&lt;&gt;"ACHAT","",K78*M78)</f>
        <v/>
      </c>
      <c r="O78" s="4" t="n"/>
      <c r="P78" s="5">
        <f>IF(D78&lt;&gt;"VENTE","",ABS(K78)*O78)</f>
        <v/>
      </c>
      <c r="Q78" s="4" t="n"/>
    </row>
    <row r="79">
      <c r="B79" s="4" t="n"/>
      <c r="C79" s="4" t="n"/>
      <c r="D79" s="4" t="n"/>
      <c r="E79" s="4" t="n"/>
      <c r="F79" s="5">
        <f>IF(E79="","",VLOOKUP(E79,Produits!$A:$J,2,FALSE))</f>
        <v/>
      </c>
      <c r="G79" s="5">
        <f>IF(E79="","",VLOOKUP(E79,Produits!$A:$J,3,FALSE))</f>
        <v/>
      </c>
      <c r="H79" s="4" t="n"/>
      <c r="I79" s="4" t="n"/>
      <c r="J79" s="4" t="n"/>
      <c r="K79" s="5">
        <f>IF(B79=FALSE,"",IF(D79="ACHAT",IF(AND(H79&lt;&gt;"",I79&lt;&gt;""),H79*I79,J79),IF(OR(D79="VENTE",D79="PERTE"),-ABS(J79),IF(D79="AJUSTEMENT",J79,""))))</f>
        <v/>
      </c>
      <c r="L79" s="4" t="n"/>
      <c r="M79" s="5">
        <f>IF(OR(L79="",I79=""),"",L79/I79)</f>
        <v/>
      </c>
      <c r="N79" s="5">
        <f>IF(D79&lt;&gt;"ACHAT","",K79*M79)</f>
        <v/>
      </c>
      <c r="O79" s="4" t="n"/>
      <c r="P79" s="5">
        <f>IF(D79&lt;&gt;"VENTE","",ABS(K79)*O79)</f>
        <v/>
      </c>
      <c r="Q79" s="4" t="n"/>
    </row>
    <row r="80">
      <c r="B80" s="4" t="n"/>
      <c r="C80" s="4" t="n"/>
      <c r="D80" s="4" t="n"/>
      <c r="E80" s="4" t="n"/>
      <c r="F80" s="5">
        <f>IF(E80="","",VLOOKUP(E80,Produits!$A:$J,2,FALSE))</f>
        <v/>
      </c>
      <c r="G80" s="5">
        <f>IF(E80="","",VLOOKUP(E80,Produits!$A:$J,3,FALSE))</f>
        <v/>
      </c>
      <c r="H80" s="4" t="n"/>
      <c r="I80" s="4" t="n"/>
      <c r="J80" s="4" t="n"/>
      <c r="K80" s="5">
        <f>IF(B80=FALSE,"",IF(D80="ACHAT",IF(AND(H80&lt;&gt;"",I80&lt;&gt;""),H80*I80,J80),IF(OR(D80="VENTE",D80="PERTE"),-ABS(J80),IF(D80="AJUSTEMENT",J80,""))))</f>
        <v/>
      </c>
      <c r="L80" s="4" t="n"/>
      <c r="M80" s="5">
        <f>IF(OR(L80="",I80=""),"",L80/I80)</f>
        <v/>
      </c>
      <c r="N80" s="5">
        <f>IF(D80&lt;&gt;"ACHAT","",K80*M80)</f>
        <v/>
      </c>
      <c r="O80" s="4" t="n"/>
      <c r="P80" s="5">
        <f>IF(D80&lt;&gt;"VENTE","",ABS(K80)*O80)</f>
        <v/>
      </c>
      <c r="Q80" s="4" t="n"/>
    </row>
    <row r="81">
      <c r="B81" s="4" t="n"/>
      <c r="C81" s="4" t="n"/>
      <c r="D81" s="4" t="n"/>
      <c r="E81" s="4" t="n"/>
      <c r="F81" s="5">
        <f>IF(E81="","",VLOOKUP(E81,Produits!$A:$J,2,FALSE))</f>
        <v/>
      </c>
      <c r="G81" s="5">
        <f>IF(E81="","",VLOOKUP(E81,Produits!$A:$J,3,FALSE))</f>
        <v/>
      </c>
      <c r="H81" s="4" t="n"/>
      <c r="I81" s="4" t="n"/>
      <c r="J81" s="4" t="n"/>
      <c r="K81" s="5">
        <f>IF(B81=FALSE,"",IF(D81="ACHAT",IF(AND(H81&lt;&gt;"",I81&lt;&gt;""),H81*I81,J81),IF(OR(D81="VENTE",D81="PERTE"),-ABS(J81),IF(D81="AJUSTEMENT",J81,""))))</f>
        <v/>
      </c>
      <c r="L81" s="4" t="n"/>
      <c r="M81" s="5">
        <f>IF(OR(L81="",I81=""),"",L81/I81)</f>
        <v/>
      </c>
      <c r="N81" s="5">
        <f>IF(D81&lt;&gt;"ACHAT","",K81*M81)</f>
        <v/>
      </c>
      <c r="O81" s="4" t="n"/>
      <c r="P81" s="5">
        <f>IF(D81&lt;&gt;"VENTE","",ABS(K81)*O81)</f>
        <v/>
      </c>
      <c r="Q81" s="4" t="n"/>
    </row>
    <row r="82">
      <c r="B82" s="4" t="n"/>
      <c r="C82" s="4" t="n"/>
      <c r="D82" s="4" t="n"/>
      <c r="E82" s="4" t="n"/>
      <c r="F82" s="5">
        <f>IF(E82="","",VLOOKUP(E82,Produits!$A:$J,2,FALSE))</f>
        <v/>
      </c>
      <c r="G82" s="5">
        <f>IF(E82="","",VLOOKUP(E82,Produits!$A:$J,3,FALSE))</f>
        <v/>
      </c>
      <c r="H82" s="4" t="n"/>
      <c r="I82" s="4" t="n"/>
      <c r="J82" s="4" t="n"/>
      <c r="K82" s="5">
        <f>IF(B82=FALSE,"",IF(D82="ACHAT",IF(AND(H82&lt;&gt;"",I82&lt;&gt;""),H82*I82,J82),IF(OR(D82="VENTE",D82="PERTE"),-ABS(J82),IF(D82="AJUSTEMENT",J82,""))))</f>
        <v/>
      </c>
      <c r="L82" s="4" t="n"/>
      <c r="M82" s="5">
        <f>IF(OR(L82="",I82=""),"",L82/I82)</f>
        <v/>
      </c>
      <c r="N82" s="5">
        <f>IF(D82&lt;&gt;"ACHAT","",K82*M82)</f>
        <v/>
      </c>
      <c r="O82" s="4" t="n"/>
      <c r="P82" s="5">
        <f>IF(D82&lt;&gt;"VENTE","",ABS(K82)*O82)</f>
        <v/>
      </c>
      <c r="Q82" s="4" t="n"/>
    </row>
    <row r="83">
      <c r="B83" s="4" t="n"/>
      <c r="C83" s="4" t="n"/>
      <c r="D83" s="4" t="n"/>
      <c r="E83" s="4" t="n"/>
      <c r="F83" s="5">
        <f>IF(E83="","",VLOOKUP(E83,Produits!$A:$J,2,FALSE))</f>
        <v/>
      </c>
      <c r="G83" s="5">
        <f>IF(E83="","",VLOOKUP(E83,Produits!$A:$J,3,FALSE))</f>
        <v/>
      </c>
      <c r="H83" s="4" t="n"/>
      <c r="I83" s="4" t="n"/>
      <c r="J83" s="4" t="n"/>
      <c r="K83" s="5">
        <f>IF(B83=FALSE,"",IF(D83="ACHAT",IF(AND(H83&lt;&gt;"",I83&lt;&gt;""),H83*I83,J83),IF(OR(D83="VENTE",D83="PERTE"),-ABS(J83),IF(D83="AJUSTEMENT",J83,""))))</f>
        <v/>
      </c>
      <c r="L83" s="4" t="n"/>
      <c r="M83" s="5">
        <f>IF(OR(L83="",I83=""),"",L83/I83)</f>
        <v/>
      </c>
      <c r="N83" s="5">
        <f>IF(D83&lt;&gt;"ACHAT","",K83*M83)</f>
        <v/>
      </c>
      <c r="O83" s="4" t="n"/>
      <c r="P83" s="5">
        <f>IF(D83&lt;&gt;"VENTE","",ABS(K83)*O83)</f>
        <v/>
      </c>
      <c r="Q83" s="4" t="n"/>
    </row>
    <row r="84">
      <c r="B84" s="4" t="n"/>
      <c r="C84" s="4" t="n"/>
      <c r="D84" s="4" t="n"/>
      <c r="E84" s="4" t="n"/>
      <c r="F84" s="5">
        <f>IF(E84="","",VLOOKUP(E84,Produits!$A:$J,2,FALSE))</f>
        <v/>
      </c>
      <c r="G84" s="5">
        <f>IF(E84="","",VLOOKUP(E84,Produits!$A:$J,3,FALSE))</f>
        <v/>
      </c>
      <c r="H84" s="4" t="n"/>
      <c r="I84" s="4" t="n"/>
      <c r="J84" s="4" t="n"/>
      <c r="K84" s="5">
        <f>IF(B84=FALSE,"",IF(D84="ACHAT",IF(AND(H84&lt;&gt;"",I84&lt;&gt;""),H84*I84,J84),IF(OR(D84="VENTE",D84="PERTE"),-ABS(J84),IF(D84="AJUSTEMENT",J84,""))))</f>
        <v/>
      </c>
      <c r="L84" s="4" t="n"/>
      <c r="M84" s="5">
        <f>IF(OR(L84="",I84=""),"",L84/I84)</f>
        <v/>
      </c>
      <c r="N84" s="5">
        <f>IF(D84&lt;&gt;"ACHAT","",K84*M84)</f>
        <v/>
      </c>
      <c r="O84" s="4" t="n"/>
      <c r="P84" s="5">
        <f>IF(D84&lt;&gt;"VENTE","",ABS(K84)*O84)</f>
        <v/>
      </c>
      <c r="Q84" s="4" t="n"/>
    </row>
    <row r="85">
      <c r="B85" s="4" t="n"/>
      <c r="C85" s="4" t="n"/>
      <c r="D85" s="4" t="n"/>
      <c r="E85" s="4" t="n"/>
      <c r="F85" s="5">
        <f>IF(E85="","",VLOOKUP(E85,Produits!$A:$J,2,FALSE))</f>
        <v/>
      </c>
      <c r="G85" s="5">
        <f>IF(E85="","",VLOOKUP(E85,Produits!$A:$J,3,FALSE))</f>
        <v/>
      </c>
      <c r="H85" s="4" t="n"/>
      <c r="I85" s="4" t="n"/>
      <c r="J85" s="4" t="n"/>
      <c r="K85" s="5">
        <f>IF(B85=FALSE,"",IF(D85="ACHAT",IF(AND(H85&lt;&gt;"",I85&lt;&gt;""),H85*I85,J85),IF(OR(D85="VENTE",D85="PERTE"),-ABS(J85),IF(D85="AJUSTEMENT",J85,""))))</f>
        <v/>
      </c>
      <c r="L85" s="4" t="n"/>
      <c r="M85" s="5">
        <f>IF(OR(L85="",I85=""),"",L85/I85)</f>
        <v/>
      </c>
      <c r="N85" s="5">
        <f>IF(D85&lt;&gt;"ACHAT","",K85*M85)</f>
        <v/>
      </c>
      <c r="O85" s="4" t="n"/>
      <c r="P85" s="5">
        <f>IF(D85&lt;&gt;"VENTE","",ABS(K85)*O85)</f>
        <v/>
      </c>
      <c r="Q85" s="4" t="n"/>
    </row>
    <row r="86">
      <c r="B86" s="4" t="n"/>
      <c r="C86" s="4" t="n"/>
      <c r="D86" s="4" t="n"/>
      <c r="E86" s="4" t="n"/>
      <c r="F86" s="5">
        <f>IF(E86="","",VLOOKUP(E86,Produits!$A:$J,2,FALSE))</f>
        <v/>
      </c>
      <c r="G86" s="5">
        <f>IF(E86="","",VLOOKUP(E86,Produits!$A:$J,3,FALSE))</f>
        <v/>
      </c>
      <c r="H86" s="4" t="n"/>
      <c r="I86" s="4" t="n"/>
      <c r="J86" s="4" t="n"/>
      <c r="K86" s="5">
        <f>IF(B86=FALSE,"",IF(D86="ACHAT",IF(AND(H86&lt;&gt;"",I86&lt;&gt;""),H86*I86,J86),IF(OR(D86="VENTE",D86="PERTE"),-ABS(J86),IF(D86="AJUSTEMENT",J86,""))))</f>
        <v/>
      </c>
      <c r="L86" s="4" t="n"/>
      <c r="M86" s="5">
        <f>IF(OR(L86="",I86=""),"",L86/I86)</f>
        <v/>
      </c>
      <c r="N86" s="5">
        <f>IF(D86&lt;&gt;"ACHAT","",K86*M86)</f>
        <v/>
      </c>
      <c r="O86" s="4" t="n"/>
      <c r="P86" s="5">
        <f>IF(D86&lt;&gt;"VENTE","",ABS(K86)*O86)</f>
        <v/>
      </c>
      <c r="Q86" s="4" t="n"/>
    </row>
    <row r="87">
      <c r="B87" s="4" t="n"/>
      <c r="C87" s="4" t="n"/>
      <c r="D87" s="4" t="n"/>
      <c r="E87" s="4" t="n"/>
      <c r="F87" s="5">
        <f>IF(E87="","",VLOOKUP(E87,Produits!$A:$J,2,FALSE))</f>
        <v/>
      </c>
      <c r="G87" s="5">
        <f>IF(E87="","",VLOOKUP(E87,Produits!$A:$J,3,FALSE))</f>
        <v/>
      </c>
      <c r="H87" s="4" t="n"/>
      <c r="I87" s="4" t="n"/>
      <c r="J87" s="4" t="n"/>
      <c r="K87" s="5">
        <f>IF(B87=FALSE,"",IF(D87="ACHAT",IF(AND(H87&lt;&gt;"",I87&lt;&gt;""),H87*I87,J87),IF(OR(D87="VENTE",D87="PERTE"),-ABS(J87),IF(D87="AJUSTEMENT",J87,""))))</f>
        <v/>
      </c>
      <c r="L87" s="4" t="n"/>
      <c r="M87" s="5">
        <f>IF(OR(L87="",I87=""),"",L87/I87)</f>
        <v/>
      </c>
      <c r="N87" s="5">
        <f>IF(D87&lt;&gt;"ACHAT","",K87*M87)</f>
        <v/>
      </c>
      <c r="O87" s="4" t="n"/>
      <c r="P87" s="5">
        <f>IF(D87&lt;&gt;"VENTE","",ABS(K87)*O87)</f>
        <v/>
      </c>
      <c r="Q87" s="4" t="n"/>
    </row>
    <row r="88">
      <c r="B88" s="4" t="n"/>
      <c r="C88" s="4" t="n"/>
      <c r="D88" s="4" t="n"/>
      <c r="E88" s="4" t="n"/>
      <c r="F88" s="5">
        <f>IF(E88="","",VLOOKUP(E88,Produits!$A:$J,2,FALSE))</f>
        <v/>
      </c>
      <c r="G88" s="5">
        <f>IF(E88="","",VLOOKUP(E88,Produits!$A:$J,3,FALSE))</f>
        <v/>
      </c>
      <c r="H88" s="4" t="n"/>
      <c r="I88" s="4" t="n"/>
      <c r="J88" s="4" t="n"/>
      <c r="K88" s="5">
        <f>IF(B88=FALSE,"",IF(D88="ACHAT",IF(AND(H88&lt;&gt;"",I88&lt;&gt;""),H88*I88,J88),IF(OR(D88="VENTE",D88="PERTE"),-ABS(J88),IF(D88="AJUSTEMENT",J88,""))))</f>
        <v/>
      </c>
      <c r="L88" s="4" t="n"/>
      <c r="M88" s="5">
        <f>IF(OR(L88="",I88=""),"",L88/I88)</f>
        <v/>
      </c>
      <c r="N88" s="5">
        <f>IF(D88&lt;&gt;"ACHAT","",K88*M88)</f>
        <v/>
      </c>
      <c r="O88" s="4" t="n"/>
      <c r="P88" s="5">
        <f>IF(D88&lt;&gt;"VENTE","",ABS(K88)*O88)</f>
        <v/>
      </c>
      <c r="Q88" s="4" t="n"/>
    </row>
    <row r="89">
      <c r="B89" s="4" t="n"/>
      <c r="C89" s="4" t="n"/>
      <c r="D89" s="4" t="n"/>
      <c r="E89" s="4" t="n"/>
      <c r="F89" s="5">
        <f>IF(E89="","",VLOOKUP(E89,Produits!$A:$J,2,FALSE))</f>
        <v/>
      </c>
      <c r="G89" s="5">
        <f>IF(E89="","",VLOOKUP(E89,Produits!$A:$J,3,FALSE))</f>
        <v/>
      </c>
      <c r="H89" s="4" t="n"/>
      <c r="I89" s="4" t="n"/>
      <c r="J89" s="4" t="n"/>
      <c r="K89" s="5">
        <f>IF(B89=FALSE,"",IF(D89="ACHAT",IF(AND(H89&lt;&gt;"",I89&lt;&gt;""),H89*I89,J89),IF(OR(D89="VENTE",D89="PERTE"),-ABS(J89),IF(D89="AJUSTEMENT",J89,""))))</f>
        <v/>
      </c>
      <c r="L89" s="4" t="n"/>
      <c r="M89" s="5">
        <f>IF(OR(L89="",I89=""),"",L89/I89)</f>
        <v/>
      </c>
      <c r="N89" s="5">
        <f>IF(D89&lt;&gt;"ACHAT","",K89*M89)</f>
        <v/>
      </c>
      <c r="O89" s="4" t="n"/>
      <c r="P89" s="5">
        <f>IF(D89&lt;&gt;"VENTE","",ABS(K89)*O89)</f>
        <v/>
      </c>
      <c r="Q89" s="4" t="n"/>
    </row>
    <row r="90">
      <c r="B90" s="4" t="n"/>
      <c r="C90" s="4" t="n"/>
      <c r="D90" s="4" t="n"/>
      <c r="E90" s="4" t="n"/>
      <c r="F90" s="5">
        <f>IF(E90="","",VLOOKUP(E90,Produits!$A:$J,2,FALSE))</f>
        <v/>
      </c>
      <c r="G90" s="5">
        <f>IF(E90="","",VLOOKUP(E90,Produits!$A:$J,3,FALSE))</f>
        <v/>
      </c>
      <c r="H90" s="4" t="n"/>
      <c r="I90" s="4" t="n"/>
      <c r="J90" s="4" t="n"/>
      <c r="K90" s="5">
        <f>IF(B90=FALSE,"",IF(D90="ACHAT",IF(AND(H90&lt;&gt;"",I90&lt;&gt;""),H90*I90,J90),IF(OR(D90="VENTE",D90="PERTE"),-ABS(J90),IF(D90="AJUSTEMENT",J90,""))))</f>
        <v/>
      </c>
      <c r="L90" s="4" t="n"/>
      <c r="M90" s="5">
        <f>IF(OR(L90="",I90=""),"",L90/I90)</f>
        <v/>
      </c>
      <c r="N90" s="5">
        <f>IF(D90&lt;&gt;"ACHAT","",K90*M90)</f>
        <v/>
      </c>
      <c r="O90" s="4" t="n"/>
      <c r="P90" s="5">
        <f>IF(D90&lt;&gt;"VENTE","",ABS(K90)*O90)</f>
        <v/>
      </c>
      <c r="Q90" s="4" t="n"/>
    </row>
    <row r="91">
      <c r="B91" s="4" t="n"/>
      <c r="C91" s="4" t="n"/>
      <c r="D91" s="4" t="n"/>
      <c r="E91" s="4" t="n"/>
      <c r="F91" s="5">
        <f>IF(E91="","",VLOOKUP(E91,Produits!$A:$J,2,FALSE))</f>
        <v/>
      </c>
      <c r="G91" s="5">
        <f>IF(E91="","",VLOOKUP(E91,Produits!$A:$J,3,FALSE))</f>
        <v/>
      </c>
      <c r="H91" s="4" t="n"/>
      <c r="I91" s="4" t="n"/>
      <c r="J91" s="4" t="n"/>
      <c r="K91" s="5">
        <f>IF(B91=FALSE,"",IF(D91="ACHAT",IF(AND(H91&lt;&gt;"",I91&lt;&gt;""),H91*I91,J91),IF(OR(D91="VENTE",D91="PERTE"),-ABS(J91),IF(D91="AJUSTEMENT",J91,""))))</f>
        <v/>
      </c>
      <c r="L91" s="4" t="n"/>
      <c r="M91" s="5">
        <f>IF(OR(L91="",I91=""),"",L91/I91)</f>
        <v/>
      </c>
      <c r="N91" s="5">
        <f>IF(D91&lt;&gt;"ACHAT","",K91*M91)</f>
        <v/>
      </c>
      <c r="O91" s="4" t="n"/>
      <c r="P91" s="5">
        <f>IF(D91&lt;&gt;"VENTE","",ABS(K91)*O91)</f>
        <v/>
      </c>
      <c r="Q91" s="4" t="n"/>
    </row>
    <row r="92">
      <c r="B92" s="4" t="n"/>
      <c r="C92" s="4" t="n"/>
      <c r="D92" s="4" t="n"/>
      <c r="E92" s="4" t="n"/>
      <c r="F92" s="5">
        <f>IF(E92="","",VLOOKUP(E92,Produits!$A:$J,2,FALSE))</f>
        <v/>
      </c>
      <c r="G92" s="5">
        <f>IF(E92="","",VLOOKUP(E92,Produits!$A:$J,3,FALSE))</f>
        <v/>
      </c>
      <c r="H92" s="4" t="n"/>
      <c r="I92" s="4" t="n"/>
      <c r="J92" s="4" t="n"/>
      <c r="K92" s="5">
        <f>IF(B92=FALSE,"",IF(D92="ACHAT",IF(AND(H92&lt;&gt;"",I92&lt;&gt;""),H92*I92,J92),IF(OR(D92="VENTE",D92="PERTE"),-ABS(J92),IF(D92="AJUSTEMENT",J92,""))))</f>
        <v/>
      </c>
      <c r="L92" s="4" t="n"/>
      <c r="M92" s="5">
        <f>IF(OR(L92="",I92=""),"",L92/I92)</f>
        <v/>
      </c>
      <c r="N92" s="5">
        <f>IF(D92&lt;&gt;"ACHAT","",K92*M92)</f>
        <v/>
      </c>
      <c r="O92" s="4" t="n"/>
      <c r="P92" s="5">
        <f>IF(D92&lt;&gt;"VENTE","",ABS(K92)*O92)</f>
        <v/>
      </c>
      <c r="Q92" s="4" t="n"/>
    </row>
    <row r="93">
      <c r="B93" s="4" t="n"/>
      <c r="C93" s="4" t="n"/>
      <c r="D93" s="4" t="n"/>
      <c r="E93" s="4" t="n"/>
      <c r="F93" s="5">
        <f>IF(E93="","",VLOOKUP(E93,Produits!$A:$J,2,FALSE))</f>
        <v/>
      </c>
      <c r="G93" s="5">
        <f>IF(E93="","",VLOOKUP(E93,Produits!$A:$J,3,FALSE))</f>
        <v/>
      </c>
      <c r="H93" s="4" t="n"/>
      <c r="I93" s="4" t="n"/>
      <c r="J93" s="4" t="n"/>
      <c r="K93" s="5">
        <f>IF(B93=FALSE,"",IF(D93="ACHAT",IF(AND(H93&lt;&gt;"",I93&lt;&gt;""),H93*I93,J93),IF(OR(D93="VENTE",D93="PERTE"),-ABS(J93),IF(D93="AJUSTEMENT",J93,""))))</f>
        <v/>
      </c>
      <c r="L93" s="4" t="n"/>
      <c r="M93" s="5">
        <f>IF(OR(L93="",I93=""),"",L93/I93)</f>
        <v/>
      </c>
      <c r="N93" s="5">
        <f>IF(D93&lt;&gt;"ACHAT","",K93*M93)</f>
        <v/>
      </c>
      <c r="O93" s="4" t="n"/>
      <c r="P93" s="5">
        <f>IF(D93&lt;&gt;"VENTE","",ABS(K93)*O93)</f>
        <v/>
      </c>
      <c r="Q93" s="4" t="n"/>
    </row>
    <row r="94">
      <c r="B94" s="4" t="n"/>
      <c r="C94" s="4" t="n"/>
      <c r="D94" s="4" t="n"/>
      <c r="E94" s="4" t="n"/>
      <c r="F94" s="5">
        <f>IF(E94="","",VLOOKUP(E94,Produits!$A:$J,2,FALSE))</f>
        <v/>
      </c>
      <c r="G94" s="5">
        <f>IF(E94="","",VLOOKUP(E94,Produits!$A:$J,3,FALSE))</f>
        <v/>
      </c>
      <c r="H94" s="4" t="n"/>
      <c r="I94" s="4" t="n"/>
      <c r="J94" s="4" t="n"/>
      <c r="K94" s="5">
        <f>IF(B94=FALSE,"",IF(D94="ACHAT",IF(AND(H94&lt;&gt;"",I94&lt;&gt;""),H94*I94,J94),IF(OR(D94="VENTE",D94="PERTE"),-ABS(J94),IF(D94="AJUSTEMENT",J94,""))))</f>
        <v/>
      </c>
      <c r="L94" s="4" t="n"/>
      <c r="M94" s="5">
        <f>IF(OR(L94="",I94=""),"",L94/I94)</f>
        <v/>
      </c>
      <c r="N94" s="5">
        <f>IF(D94&lt;&gt;"ACHAT","",K94*M94)</f>
        <v/>
      </c>
      <c r="O94" s="4" t="n"/>
      <c r="P94" s="5">
        <f>IF(D94&lt;&gt;"VENTE","",ABS(K94)*O94)</f>
        <v/>
      </c>
      <c r="Q94" s="4" t="n"/>
    </row>
    <row r="95">
      <c r="B95" s="4" t="n"/>
      <c r="C95" s="4" t="n"/>
      <c r="D95" s="4" t="n"/>
      <c r="E95" s="4" t="n"/>
      <c r="F95" s="5">
        <f>IF(E95="","",VLOOKUP(E95,Produits!$A:$J,2,FALSE))</f>
        <v/>
      </c>
      <c r="G95" s="5">
        <f>IF(E95="","",VLOOKUP(E95,Produits!$A:$J,3,FALSE))</f>
        <v/>
      </c>
      <c r="H95" s="4" t="n"/>
      <c r="I95" s="4" t="n"/>
      <c r="J95" s="4" t="n"/>
      <c r="K95" s="5">
        <f>IF(B95=FALSE,"",IF(D95="ACHAT",IF(AND(H95&lt;&gt;"",I95&lt;&gt;""),H95*I95,J95),IF(OR(D95="VENTE",D95="PERTE"),-ABS(J95),IF(D95="AJUSTEMENT",J95,""))))</f>
        <v/>
      </c>
      <c r="L95" s="4" t="n"/>
      <c r="M95" s="5">
        <f>IF(OR(L95="",I95=""),"",L95/I95)</f>
        <v/>
      </c>
      <c r="N95" s="5">
        <f>IF(D95&lt;&gt;"ACHAT","",K95*M95)</f>
        <v/>
      </c>
      <c r="O95" s="4" t="n"/>
      <c r="P95" s="5">
        <f>IF(D95&lt;&gt;"VENTE","",ABS(K95)*O95)</f>
        <v/>
      </c>
      <c r="Q95" s="4" t="n"/>
    </row>
    <row r="96">
      <c r="B96" s="4" t="n"/>
      <c r="C96" s="4" t="n"/>
      <c r="D96" s="4" t="n"/>
      <c r="E96" s="4" t="n"/>
      <c r="F96" s="5">
        <f>IF(E96="","",VLOOKUP(E96,Produits!$A:$J,2,FALSE))</f>
        <v/>
      </c>
      <c r="G96" s="5">
        <f>IF(E96="","",VLOOKUP(E96,Produits!$A:$J,3,FALSE))</f>
        <v/>
      </c>
      <c r="H96" s="4" t="n"/>
      <c r="I96" s="4" t="n"/>
      <c r="J96" s="4" t="n"/>
      <c r="K96" s="5">
        <f>IF(B96=FALSE,"",IF(D96="ACHAT",IF(AND(H96&lt;&gt;"",I96&lt;&gt;""),H96*I96,J96),IF(OR(D96="VENTE",D96="PERTE"),-ABS(J96),IF(D96="AJUSTEMENT",J96,""))))</f>
        <v/>
      </c>
      <c r="L96" s="4" t="n"/>
      <c r="M96" s="5">
        <f>IF(OR(L96="",I96=""),"",L96/I96)</f>
        <v/>
      </c>
      <c r="N96" s="5">
        <f>IF(D96&lt;&gt;"ACHAT","",K96*M96)</f>
        <v/>
      </c>
      <c r="O96" s="4" t="n"/>
      <c r="P96" s="5">
        <f>IF(D96&lt;&gt;"VENTE","",ABS(K96)*O96)</f>
        <v/>
      </c>
      <c r="Q96" s="4" t="n"/>
    </row>
    <row r="97">
      <c r="B97" s="4" t="n"/>
      <c r="C97" s="4" t="n"/>
      <c r="D97" s="4" t="n"/>
      <c r="E97" s="4" t="n"/>
      <c r="F97" s="5">
        <f>IF(E97="","",VLOOKUP(E97,Produits!$A:$J,2,FALSE))</f>
        <v/>
      </c>
      <c r="G97" s="5">
        <f>IF(E97="","",VLOOKUP(E97,Produits!$A:$J,3,FALSE))</f>
        <v/>
      </c>
      <c r="H97" s="4" t="n"/>
      <c r="I97" s="4" t="n"/>
      <c r="J97" s="4" t="n"/>
      <c r="K97" s="5">
        <f>IF(B97=FALSE,"",IF(D97="ACHAT",IF(AND(H97&lt;&gt;"",I97&lt;&gt;""),H97*I97,J97),IF(OR(D97="VENTE",D97="PERTE"),-ABS(J97),IF(D97="AJUSTEMENT",J97,""))))</f>
        <v/>
      </c>
      <c r="L97" s="4" t="n"/>
      <c r="M97" s="5">
        <f>IF(OR(L97="",I97=""),"",L97/I97)</f>
        <v/>
      </c>
      <c r="N97" s="5">
        <f>IF(D97&lt;&gt;"ACHAT","",K97*M97)</f>
        <v/>
      </c>
      <c r="O97" s="4" t="n"/>
      <c r="P97" s="5">
        <f>IF(D97&lt;&gt;"VENTE","",ABS(K97)*O97)</f>
        <v/>
      </c>
      <c r="Q97" s="4" t="n"/>
    </row>
    <row r="98">
      <c r="B98" s="4" t="n"/>
      <c r="C98" s="4" t="n"/>
      <c r="D98" s="4" t="n"/>
      <c r="E98" s="4" t="n"/>
      <c r="F98" s="5">
        <f>IF(E98="","",VLOOKUP(E98,Produits!$A:$J,2,FALSE))</f>
        <v/>
      </c>
      <c r="G98" s="5">
        <f>IF(E98="","",VLOOKUP(E98,Produits!$A:$J,3,FALSE))</f>
        <v/>
      </c>
      <c r="H98" s="4" t="n"/>
      <c r="I98" s="4" t="n"/>
      <c r="J98" s="4" t="n"/>
      <c r="K98" s="5">
        <f>IF(B98=FALSE,"",IF(D98="ACHAT",IF(AND(H98&lt;&gt;"",I98&lt;&gt;""),H98*I98,J98),IF(OR(D98="VENTE",D98="PERTE"),-ABS(J98),IF(D98="AJUSTEMENT",J98,""))))</f>
        <v/>
      </c>
      <c r="L98" s="4" t="n"/>
      <c r="M98" s="5">
        <f>IF(OR(L98="",I98=""),"",L98/I98)</f>
        <v/>
      </c>
      <c r="N98" s="5">
        <f>IF(D98&lt;&gt;"ACHAT","",K98*M98)</f>
        <v/>
      </c>
      <c r="O98" s="4" t="n"/>
      <c r="P98" s="5">
        <f>IF(D98&lt;&gt;"VENTE","",ABS(K98)*O98)</f>
        <v/>
      </c>
      <c r="Q98" s="4" t="n"/>
    </row>
    <row r="99">
      <c r="B99" s="4" t="n"/>
      <c r="C99" s="4" t="n"/>
      <c r="D99" s="4" t="n"/>
      <c r="E99" s="4" t="n"/>
      <c r="F99" s="5">
        <f>IF(E99="","",VLOOKUP(E99,Produits!$A:$J,2,FALSE))</f>
        <v/>
      </c>
      <c r="G99" s="5">
        <f>IF(E99="","",VLOOKUP(E99,Produits!$A:$J,3,FALSE))</f>
        <v/>
      </c>
      <c r="H99" s="4" t="n"/>
      <c r="I99" s="4" t="n"/>
      <c r="J99" s="4" t="n"/>
      <c r="K99" s="5">
        <f>IF(B99=FALSE,"",IF(D99="ACHAT",IF(AND(H99&lt;&gt;"",I99&lt;&gt;""),H99*I99,J99),IF(OR(D99="VENTE",D99="PERTE"),-ABS(J99),IF(D99="AJUSTEMENT",J99,""))))</f>
        <v/>
      </c>
      <c r="L99" s="4" t="n"/>
      <c r="M99" s="5">
        <f>IF(OR(L99="",I99=""),"",L99/I99)</f>
        <v/>
      </c>
      <c r="N99" s="5">
        <f>IF(D99&lt;&gt;"ACHAT","",K99*M99)</f>
        <v/>
      </c>
      <c r="O99" s="4" t="n"/>
      <c r="P99" s="5">
        <f>IF(D99&lt;&gt;"VENTE","",ABS(K99)*O99)</f>
        <v/>
      </c>
      <c r="Q99" s="4" t="n"/>
    </row>
    <row r="100">
      <c r="B100" s="4" t="n"/>
      <c r="C100" s="4" t="n"/>
      <c r="D100" s="4" t="n"/>
      <c r="E100" s="4" t="n"/>
      <c r="F100" s="5">
        <f>IF(E100="","",VLOOKUP(E100,Produits!$A:$J,2,FALSE))</f>
        <v/>
      </c>
      <c r="G100" s="5">
        <f>IF(E100="","",VLOOKUP(E100,Produits!$A:$J,3,FALSE))</f>
        <v/>
      </c>
      <c r="H100" s="4" t="n"/>
      <c r="I100" s="4" t="n"/>
      <c r="J100" s="4" t="n"/>
      <c r="K100" s="5">
        <f>IF(B100=FALSE,"",IF(D100="ACHAT",IF(AND(H100&lt;&gt;"",I100&lt;&gt;""),H100*I100,J100),IF(OR(D100="VENTE",D100="PERTE"),-ABS(J100),IF(D100="AJUSTEMENT",J100,""))))</f>
        <v/>
      </c>
      <c r="L100" s="4" t="n"/>
      <c r="M100" s="5">
        <f>IF(OR(L100="",I100=""),"",L100/I100)</f>
        <v/>
      </c>
      <c r="N100" s="5">
        <f>IF(D100&lt;&gt;"ACHAT","",K100*M100)</f>
        <v/>
      </c>
      <c r="O100" s="4" t="n"/>
      <c r="P100" s="5">
        <f>IF(D100&lt;&gt;"VENTE","",ABS(K100)*O100)</f>
        <v/>
      </c>
      <c r="Q100" s="4" t="n"/>
    </row>
    <row r="101">
      <c r="B101" s="4" t="n"/>
      <c r="C101" s="4" t="n"/>
      <c r="D101" s="4" t="n"/>
      <c r="E101" s="4" t="n"/>
      <c r="F101" s="5">
        <f>IF(E101="","",VLOOKUP(E101,Produits!$A:$J,2,FALSE))</f>
        <v/>
      </c>
      <c r="G101" s="5">
        <f>IF(E101="","",VLOOKUP(E101,Produits!$A:$J,3,FALSE))</f>
        <v/>
      </c>
      <c r="H101" s="4" t="n"/>
      <c r="I101" s="4" t="n"/>
      <c r="J101" s="4" t="n"/>
      <c r="K101" s="5">
        <f>IF(B101=FALSE,"",IF(D101="ACHAT",IF(AND(H101&lt;&gt;"",I101&lt;&gt;""),H101*I101,J101),IF(OR(D101="VENTE",D101="PERTE"),-ABS(J101),IF(D101="AJUSTEMENT",J101,""))))</f>
        <v/>
      </c>
      <c r="L101" s="4" t="n"/>
      <c r="M101" s="5">
        <f>IF(OR(L101="",I101=""),"",L101/I101)</f>
        <v/>
      </c>
      <c r="N101" s="5">
        <f>IF(D101&lt;&gt;"ACHAT","",K101*M101)</f>
        <v/>
      </c>
      <c r="O101" s="4" t="n"/>
      <c r="P101" s="5">
        <f>IF(D101&lt;&gt;"VENTE","",ABS(K101)*O101)</f>
        <v/>
      </c>
      <c r="Q101" s="4" t="n"/>
    </row>
    <row r="102">
      <c r="B102" s="4" t="n"/>
      <c r="C102" s="4" t="n"/>
      <c r="D102" s="4" t="n"/>
      <c r="E102" s="4" t="n"/>
      <c r="F102" s="5">
        <f>IF(E102="","",VLOOKUP(E102,Produits!$A:$J,2,FALSE))</f>
        <v/>
      </c>
      <c r="G102" s="5">
        <f>IF(E102="","",VLOOKUP(E102,Produits!$A:$J,3,FALSE))</f>
        <v/>
      </c>
      <c r="H102" s="4" t="n"/>
      <c r="I102" s="4" t="n"/>
      <c r="J102" s="4" t="n"/>
      <c r="K102" s="5">
        <f>IF(B102=FALSE,"",IF(D102="ACHAT",IF(AND(H102&lt;&gt;"",I102&lt;&gt;""),H102*I102,J102),IF(OR(D102="VENTE",D102="PERTE"),-ABS(J102),IF(D102="AJUSTEMENT",J102,""))))</f>
        <v/>
      </c>
      <c r="L102" s="4" t="n"/>
      <c r="M102" s="5">
        <f>IF(OR(L102="",I102=""),"",L102/I102)</f>
        <v/>
      </c>
      <c r="N102" s="5">
        <f>IF(D102&lt;&gt;"ACHAT","",K102*M102)</f>
        <v/>
      </c>
      <c r="O102" s="4" t="n"/>
      <c r="P102" s="5">
        <f>IF(D102&lt;&gt;"VENTE","",ABS(K102)*O102)</f>
        <v/>
      </c>
      <c r="Q102" s="4" t="n"/>
    </row>
    <row r="103">
      <c r="B103" s="4" t="n"/>
      <c r="C103" s="4" t="n"/>
      <c r="D103" s="4" t="n"/>
      <c r="E103" s="4" t="n"/>
      <c r="F103" s="5">
        <f>IF(E103="","",VLOOKUP(E103,Produits!$A:$J,2,FALSE))</f>
        <v/>
      </c>
      <c r="G103" s="5">
        <f>IF(E103="","",VLOOKUP(E103,Produits!$A:$J,3,FALSE))</f>
        <v/>
      </c>
      <c r="H103" s="4" t="n"/>
      <c r="I103" s="4" t="n"/>
      <c r="J103" s="4" t="n"/>
      <c r="K103" s="5">
        <f>IF(B103=FALSE,"",IF(D103="ACHAT",IF(AND(H103&lt;&gt;"",I103&lt;&gt;""),H103*I103,J103),IF(OR(D103="VENTE",D103="PERTE"),-ABS(J103),IF(D103="AJUSTEMENT",J103,""))))</f>
        <v/>
      </c>
      <c r="L103" s="4" t="n"/>
      <c r="M103" s="5">
        <f>IF(OR(L103="",I103=""),"",L103/I103)</f>
        <v/>
      </c>
      <c r="N103" s="5">
        <f>IF(D103&lt;&gt;"ACHAT","",K103*M103)</f>
        <v/>
      </c>
      <c r="O103" s="4" t="n"/>
      <c r="P103" s="5">
        <f>IF(D103&lt;&gt;"VENTE","",ABS(K103)*O103)</f>
        <v/>
      </c>
      <c r="Q103" s="4" t="n"/>
    </row>
    <row r="104">
      <c r="B104" s="4" t="n"/>
      <c r="C104" s="4" t="n"/>
      <c r="D104" s="4" t="n"/>
      <c r="E104" s="4" t="n"/>
      <c r="F104" s="5">
        <f>IF(E104="","",VLOOKUP(E104,Produits!$A:$J,2,FALSE))</f>
        <v/>
      </c>
      <c r="G104" s="5">
        <f>IF(E104="","",VLOOKUP(E104,Produits!$A:$J,3,FALSE))</f>
        <v/>
      </c>
      <c r="H104" s="4" t="n"/>
      <c r="I104" s="4" t="n"/>
      <c r="J104" s="4" t="n"/>
      <c r="K104" s="5">
        <f>IF(B104=FALSE,"",IF(D104="ACHAT",IF(AND(H104&lt;&gt;"",I104&lt;&gt;""),H104*I104,J104),IF(OR(D104="VENTE",D104="PERTE"),-ABS(J104),IF(D104="AJUSTEMENT",J104,""))))</f>
        <v/>
      </c>
      <c r="L104" s="4" t="n"/>
      <c r="M104" s="5">
        <f>IF(OR(L104="",I104=""),"",L104/I104)</f>
        <v/>
      </c>
      <c r="N104" s="5">
        <f>IF(D104&lt;&gt;"ACHAT","",K104*M104)</f>
        <v/>
      </c>
      <c r="O104" s="4" t="n"/>
      <c r="P104" s="5">
        <f>IF(D104&lt;&gt;"VENTE","",ABS(K104)*O104)</f>
        <v/>
      </c>
      <c r="Q104" s="4" t="n"/>
    </row>
    <row r="105">
      <c r="B105" s="4" t="n"/>
      <c r="C105" s="4" t="n"/>
      <c r="D105" s="4" t="n"/>
      <c r="E105" s="4" t="n"/>
      <c r="F105" s="5">
        <f>IF(E105="","",VLOOKUP(E105,Produits!$A:$J,2,FALSE))</f>
        <v/>
      </c>
      <c r="G105" s="5">
        <f>IF(E105="","",VLOOKUP(E105,Produits!$A:$J,3,FALSE))</f>
        <v/>
      </c>
      <c r="H105" s="4" t="n"/>
      <c r="I105" s="4" t="n"/>
      <c r="J105" s="4" t="n"/>
      <c r="K105" s="5">
        <f>IF(B105=FALSE,"",IF(D105="ACHAT",IF(AND(H105&lt;&gt;"",I105&lt;&gt;""),H105*I105,J105),IF(OR(D105="VENTE",D105="PERTE"),-ABS(J105),IF(D105="AJUSTEMENT",J105,""))))</f>
        <v/>
      </c>
      <c r="L105" s="4" t="n"/>
      <c r="M105" s="5">
        <f>IF(OR(L105="",I105=""),"",L105/I105)</f>
        <v/>
      </c>
      <c r="N105" s="5">
        <f>IF(D105&lt;&gt;"ACHAT","",K105*M105)</f>
        <v/>
      </c>
      <c r="O105" s="4" t="n"/>
      <c r="P105" s="5">
        <f>IF(D105&lt;&gt;"VENTE","",ABS(K105)*O105)</f>
        <v/>
      </c>
      <c r="Q105" s="4" t="n"/>
    </row>
    <row r="106">
      <c r="B106" s="4" t="n"/>
      <c r="C106" s="4" t="n"/>
      <c r="D106" s="4" t="n"/>
      <c r="E106" s="4" t="n"/>
      <c r="F106" s="5">
        <f>IF(E106="","",VLOOKUP(E106,Produits!$A:$J,2,FALSE))</f>
        <v/>
      </c>
      <c r="G106" s="5">
        <f>IF(E106="","",VLOOKUP(E106,Produits!$A:$J,3,FALSE))</f>
        <v/>
      </c>
      <c r="H106" s="4" t="n"/>
      <c r="I106" s="4" t="n"/>
      <c r="J106" s="4" t="n"/>
      <c r="K106" s="5">
        <f>IF(B106=FALSE,"",IF(D106="ACHAT",IF(AND(H106&lt;&gt;"",I106&lt;&gt;""),H106*I106,J106),IF(OR(D106="VENTE",D106="PERTE"),-ABS(J106),IF(D106="AJUSTEMENT",J106,""))))</f>
        <v/>
      </c>
      <c r="L106" s="4" t="n"/>
      <c r="M106" s="5">
        <f>IF(OR(L106="",I106=""),"",L106/I106)</f>
        <v/>
      </c>
      <c r="N106" s="5">
        <f>IF(D106&lt;&gt;"ACHAT","",K106*M106)</f>
        <v/>
      </c>
      <c r="O106" s="4" t="n"/>
      <c r="P106" s="5">
        <f>IF(D106&lt;&gt;"VENTE","",ABS(K106)*O106)</f>
        <v/>
      </c>
      <c r="Q106" s="4" t="n"/>
    </row>
    <row r="107">
      <c r="B107" s="4" t="n"/>
      <c r="C107" s="4" t="n"/>
      <c r="D107" s="4" t="n"/>
      <c r="E107" s="4" t="n"/>
      <c r="F107" s="5">
        <f>IF(E107="","",VLOOKUP(E107,Produits!$A:$J,2,FALSE))</f>
        <v/>
      </c>
      <c r="G107" s="5">
        <f>IF(E107="","",VLOOKUP(E107,Produits!$A:$J,3,FALSE))</f>
        <v/>
      </c>
      <c r="H107" s="4" t="n"/>
      <c r="I107" s="4" t="n"/>
      <c r="J107" s="4" t="n"/>
      <c r="K107" s="5">
        <f>IF(B107=FALSE,"",IF(D107="ACHAT",IF(AND(H107&lt;&gt;"",I107&lt;&gt;""),H107*I107,J107),IF(OR(D107="VENTE",D107="PERTE"),-ABS(J107),IF(D107="AJUSTEMENT",J107,""))))</f>
        <v/>
      </c>
      <c r="L107" s="4" t="n"/>
      <c r="M107" s="5">
        <f>IF(OR(L107="",I107=""),"",L107/I107)</f>
        <v/>
      </c>
      <c r="N107" s="5">
        <f>IF(D107&lt;&gt;"ACHAT","",K107*M107)</f>
        <v/>
      </c>
      <c r="O107" s="4" t="n"/>
      <c r="P107" s="5">
        <f>IF(D107&lt;&gt;"VENTE","",ABS(K107)*O107)</f>
        <v/>
      </c>
      <c r="Q107" s="4" t="n"/>
    </row>
    <row r="108">
      <c r="B108" s="4" t="n"/>
      <c r="C108" s="4" t="n"/>
      <c r="D108" s="4" t="n"/>
      <c r="E108" s="4" t="n"/>
      <c r="F108" s="5">
        <f>IF(E108="","",VLOOKUP(E108,Produits!$A:$J,2,FALSE))</f>
        <v/>
      </c>
      <c r="G108" s="5">
        <f>IF(E108="","",VLOOKUP(E108,Produits!$A:$J,3,FALSE))</f>
        <v/>
      </c>
      <c r="H108" s="4" t="n"/>
      <c r="I108" s="4" t="n"/>
      <c r="J108" s="4" t="n"/>
      <c r="K108" s="5">
        <f>IF(B108=FALSE,"",IF(D108="ACHAT",IF(AND(H108&lt;&gt;"",I108&lt;&gt;""),H108*I108,J108),IF(OR(D108="VENTE",D108="PERTE"),-ABS(J108),IF(D108="AJUSTEMENT",J108,""))))</f>
        <v/>
      </c>
      <c r="L108" s="4" t="n"/>
      <c r="M108" s="5">
        <f>IF(OR(L108="",I108=""),"",L108/I108)</f>
        <v/>
      </c>
      <c r="N108" s="5">
        <f>IF(D108&lt;&gt;"ACHAT","",K108*M108)</f>
        <v/>
      </c>
      <c r="O108" s="4" t="n"/>
      <c r="P108" s="5">
        <f>IF(D108&lt;&gt;"VENTE","",ABS(K108)*O108)</f>
        <v/>
      </c>
      <c r="Q108" s="4" t="n"/>
    </row>
    <row r="109">
      <c r="B109" s="4" t="n"/>
      <c r="C109" s="4" t="n"/>
      <c r="D109" s="4" t="n"/>
      <c r="E109" s="4" t="n"/>
      <c r="F109" s="5">
        <f>IF(E109="","",VLOOKUP(E109,Produits!$A:$J,2,FALSE))</f>
        <v/>
      </c>
      <c r="G109" s="5">
        <f>IF(E109="","",VLOOKUP(E109,Produits!$A:$J,3,FALSE))</f>
        <v/>
      </c>
      <c r="H109" s="4" t="n"/>
      <c r="I109" s="4" t="n"/>
      <c r="J109" s="4" t="n"/>
      <c r="K109" s="5">
        <f>IF(B109=FALSE,"",IF(D109="ACHAT",IF(AND(H109&lt;&gt;"",I109&lt;&gt;""),H109*I109,J109),IF(OR(D109="VENTE",D109="PERTE"),-ABS(J109),IF(D109="AJUSTEMENT",J109,""))))</f>
        <v/>
      </c>
      <c r="L109" s="4" t="n"/>
      <c r="M109" s="5">
        <f>IF(OR(L109="",I109=""),"",L109/I109)</f>
        <v/>
      </c>
      <c r="N109" s="5">
        <f>IF(D109&lt;&gt;"ACHAT","",K109*M109)</f>
        <v/>
      </c>
      <c r="O109" s="4" t="n"/>
      <c r="P109" s="5">
        <f>IF(D109&lt;&gt;"VENTE","",ABS(K109)*O109)</f>
        <v/>
      </c>
      <c r="Q109" s="4" t="n"/>
    </row>
    <row r="110">
      <c r="B110" s="4" t="n"/>
      <c r="C110" s="4" t="n"/>
      <c r="D110" s="4" t="n"/>
      <c r="E110" s="4" t="n"/>
      <c r="F110" s="5">
        <f>IF(E110="","",VLOOKUP(E110,Produits!$A:$J,2,FALSE))</f>
        <v/>
      </c>
      <c r="G110" s="5">
        <f>IF(E110="","",VLOOKUP(E110,Produits!$A:$J,3,FALSE))</f>
        <v/>
      </c>
      <c r="H110" s="4" t="n"/>
      <c r="I110" s="4" t="n"/>
      <c r="J110" s="4" t="n"/>
      <c r="K110" s="5">
        <f>IF(B110=FALSE,"",IF(D110="ACHAT",IF(AND(H110&lt;&gt;"",I110&lt;&gt;""),H110*I110,J110),IF(OR(D110="VENTE",D110="PERTE"),-ABS(J110),IF(D110="AJUSTEMENT",J110,""))))</f>
        <v/>
      </c>
      <c r="L110" s="4" t="n"/>
      <c r="M110" s="5">
        <f>IF(OR(L110="",I110=""),"",L110/I110)</f>
        <v/>
      </c>
      <c r="N110" s="5">
        <f>IF(D110&lt;&gt;"ACHAT","",K110*M110)</f>
        <v/>
      </c>
      <c r="O110" s="4" t="n"/>
      <c r="P110" s="5">
        <f>IF(D110&lt;&gt;"VENTE","",ABS(K110)*O110)</f>
        <v/>
      </c>
      <c r="Q110" s="4" t="n"/>
    </row>
    <row r="111">
      <c r="B111" s="4" t="n"/>
      <c r="C111" s="4" t="n"/>
      <c r="D111" s="4" t="n"/>
      <c r="E111" s="4" t="n"/>
      <c r="F111" s="5">
        <f>IF(E111="","",VLOOKUP(E111,Produits!$A:$J,2,FALSE))</f>
        <v/>
      </c>
      <c r="G111" s="5">
        <f>IF(E111="","",VLOOKUP(E111,Produits!$A:$J,3,FALSE))</f>
        <v/>
      </c>
      <c r="H111" s="4" t="n"/>
      <c r="I111" s="4" t="n"/>
      <c r="J111" s="4" t="n"/>
      <c r="K111" s="5">
        <f>IF(B111=FALSE,"",IF(D111="ACHAT",IF(AND(H111&lt;&gt;"",I111&lt;&gt;""),H111*I111,J111),IF(OR(D111="VENTE",D111="PERTE"),-ABS(J111),IF(D111="AJUSTEMENT",J111,""))))</f>
        <v/>
      </c>
      <c r="L111" s="4" t="n"/>
      <c r="M111" s="5">
        <f>IF(OR(L111="",I111=""),"",L111/I111)</f>
        <v/>
      </c>
      <c r="N111" s="5">
        <f>IF(D111&lt;&gt;"ACHAT","",K111*M111)</f>
        <v/>
      </c>
      <c r="O111" s="4" t="n"/>
      <c r="P111" s="5">
        <f>IF(D111&lt;&gt;"VENTE","",ABS(K111)*O111)</f>
        <v/>
      </c>
      <c r="Q111" s="4" t="n"/>
    </row>
    <row r="112">
      <c r="B112" s="4" t="n"/>
      <c r="C112" s="4" t="n"/>
      <c r="D112" s="4" t="n"/>
      <c r="E112" s="4" t="n"/>
      <c r="F112" s="5">
        <f>IF(E112="","",VLOOKUP(E112,Produits!$A:$J,2,FALSE))</f>
        <v/>
      </c>
      <c r="G112" s="5">
        <f>IF(E112="","",VLOOKUP(E112,Produits!$A:$J,3,FALSE))</f>
        <v/>
      </c>
      <c r="H112" s="4" t="n"/>
      <c r="I112" s="4" t="n"/>
      <c r="J112" s="4" t="n"/>
      <c r="K112" s="5">
        <f>IF(B112=FALSE,"",IF(D112="ACHAT",IF(AND(H112&lt;&gt;"",I112&lt;&gt;""),H112*I112,J112),IF(OR(D112="VENTE",D112="PERTE"),-ABS(J112),IF(D112="AJUSTEMENT",J112,""))))</f>
        <v/>
      </c>
      <c r="L112" s="4" t="n"/>
      <c r="M112" s="5">
        <f>IF(OR(L112="",I112=""),"",L112/I112)</f>
        <v/>
      </c>
      <c r="N112" s="5">
        <f>IF(D112&lt;&gt;"ACHAT","",K112*M112)</f>
        <v/>
      </c>
      <c r="O112" s="4" t="n"/>
      <c r="P112" s="5">
        <f>IF(D112&lt;&gt;"VENTE","",ABS(K112)*O112)</f>
        <v/>
      </c>
      <c r="Q112" s="4" t="n"/>
    </row>
    <row r="113">
      <c r="B113" s="4" t="n"/>
      <c r="C113" s="4" t="n"/>
      <c r="D113" s="4" t="n"/>
      <c r="E113" s="4" t="n"/>
      <c r="F113" s="5">
        <f>IF(E113="","",VLOOKUP(E113,Produits!$A:$J,2,FALSE))</f>
        <v/>
      </c>
      <c r="G113" s="5">
        <f>IF(E113="","",VLOOKUP(E113,Produits!$A:$J,3,FALSE))</f>
        <v/>
      </c>
      <c r="H113" s="4" t="n"/>
      <c r="I113" s="4" t="n"/>
      <c r="J113" s="4" t="n"/>
      <c r="K113" s="5">
        <f>IF(B113=FALSE,"",IF(D113="ACHAT",IF(AND(H113&lt;&gt;"",I113&lt;&gt;""),H113*I113,J113),IF(OR(D113="VENTE",D113="PERTE"),-ABS(J113),IF(D113="AJUSTEMENT",J113,""))))</f>
        <v/>
      </c>
      <c r="L113" s="4" t="n"/>
      <c r="M113" s="5">
        <f>IF(OR(L113="",I113=""),"",L113/I113)</f>
        <v/>
      </c>
      <c r="N113" s="5">
        <f>IF(D113&lt;&gt;"ACHAT","",K113*M113)</f>
        <v/>
      </c>
      <c r="O113" s="4" t="n"/>
      <c r="P113" s="5">
        <f>IF(D113&lt;&gt;"VENTE","",ABS(K113)*O113)</f>
        <v/>
      </c>
      <c r="Q113" s="4" t="n"/>
    </row>
    <row r="114">
      <c r="B114" s="4" t="n"/>
      <c r="C114" s="4" t="n"/>
      <c r="D114" s="4" t="n"/>
      <c r="E114" s="4" t="n"/>
      <c r="F114" s="5">
        <f>IF(E114="","",VLOOKUP(E114,Produits!$A:$J,2,FALSE))</f>
        <v/>
      </c>
      <c r="G114" s="5">
        <f>IF(E114="","",VLOOKUP(E114,Produits!$A:$J,3,FALSE))</f>
        <v/>
      </c>
      <c r="H114" s="4" t="n"/>
      <c r="I114" s="4" t="n"/>
      <c r="J114" s="4" t="n"/>
      <c r="K114" s="5">
        <f>IF(B114=FALSE,"",IF(D114="ACHAT",IF(AND(H114&lt;&gt;"",I114&lt;&gt;""),H114*I114,J114),IF(OR(D114="VENTE",D114="PERTE"),-ABS(J114),IF(D114="AJUSTEMENT",J114,""))))</f>
        <v/>
      </c>
      <c r="L114" s="4" t="n"/>
      <c r="M114" s="5">
        <f>IF(OR(L114="",I114=""),"",L114/I114)</f>
        <v/>
      </c>
      <c r="N114" s="5">
        <f>IF(D114&lt;&gt;"ACHAT","",K114*M114)</f>
        <v/>
      </c>
      <c r="O114" s="4" t="n"/>
      <c r="P114" s="5">
        <f>IF(D114&lt;&gt;"VENTE","",ABS(K114)*O114)</f>
        <v/>
      </c>
      <c r="Q114" s="4" t="n"/>
    </row>
    <row r="115">
      <c r="B115" s="4" t="n"/>
      <c r="C115" s="4" t="n"/>
      <c r="D115" s="4" t="n"/>
      <c r="E115" s="4" t="n"/>
      <c r="F115" s="5">
        <f>IF(E115="","",VLOOKUP(E115,Produits!$A:$J,2,FALSE))</f>
        <v/>
      </c>
      <c r="G115" s="5">
        <f>IF(E115="","",VLOOKUP(E115,Produits!$A:$J,3,FALSE))</f>
        <v/>
      </c>
      <c r="H115" s="4" t="n"/>
      <c r="I115" s="4" t="n"/>
      <c r="J115" s="4" t="n"/>
      <c r="K115" s="5">
        <f>IF(B115=FALSE,"",IF(D115="ACHAT",IF(AND(H115&lt;&gt;"",I115&lt;&gt;""),H115*I115,J115),IF(OR(D115="VENTE",D115="PERTE"),-ABS(J115),IF(D115="AJUSTEMENT",J115,""))))</f>
        <v/>
      </c>
      <c r="L115" s="4" t="n"/>
      <c r="M115" s="5">
        <f>IF(OR(L115="",I115=""),"",L115/I115)</f>
        <v/>
      </c>
      <c r="N115" s="5">
        <f>IF(D115&lt;&gt;"ACHAT","",K115*M115)</f>
        <v/>
      </c>
      <c r="O115" s="4" t="n"/>
      <c r="P115" s="5">
        <f>IF(D115&lt;&gt;"VENTE","",ABS(K115)*O115)</f>
        <v/>
      </c>
      <c r="Q115" s="4" t="n"/>
    </row>
    <row r="116">
      <c r="B116" s="4" t="n"/>
      <c r="C116" s="4" t="n"/>
      <c r="D116" s="4" t="n"/>
      <c r="E116" s="4" t="n"/>
      <c r="F116" s="5">
        <f>IF(E116="","",VLOOKUP(E116,Produits!$A:$J,2,FALSE))</f>
        <v/>
      </c>
      <c r="G116" s="5">
        <f>IF(E116="","",VLOOKUP(E116,Produits!$A:$J,3,FALSE))</f>
        <v/>
      </c>
      <c r="H116" s="4" t="n"/>
      <c r="I116" s="4" t="n"/>
      <c r="J116" s="4" t="n"/>
      <c r="K116" s="5">
        <f>IF(B116=FALSE,"",IF(D116="ACHAT",IF(AND(H116&lt;&gt;"",I116&lt;&gt;""),H116*I116,J116),IF(OR(D116="VENTE",D116="PERTE"),-ABS(J116),IF(D116="AJUSTEMENT",J116,""))))</f>
        <v/>
      </c>
      <c r="L116" s="4" t="n"/>
      <c r="M116" s="5">
        <f>IF(OR(L116="",I116=""),"",L116/I116)</f>
        <v/>
      </c>
      <c r="N116" s="5">
        <f>IF(D116&lt;&gt;"ACHAT","",K116*M116)</f>
        <v/>
      </c>
      <c r="O116" s="4" t="n"/>
      <c r="P116" s="5">
        <f>IF(D116&lt;&gt;"VENTE","",ABS(K116)*O116)</f>
        <v/>
      </c>
      <c r="Q116" s="4" t="n"/>
    </row>
    <row r="117">
      <c r="B117" s="4" t="n"/>
      <c r="C117" s="4" t="n"/>
      <c r="D117" s="4" t="n"/>
      <c r="E117" s="4" t="n"/>
      <c r="F117" s="5">
        <f>IF(E117="","",VLOOKUP(E117,Produits!$A:$J,2,FALSE))</f>
        <v/>
      </c>
      <c r="G117" s="5">
        <f>IF(E117="","",VLOOKUP(E117,Produits!$A:$J,3,FALSE))</f>
        <v/>
      </c>
      <c r="H117" s="4" t="n"/>
      <c r="I117" s="4" t="n"/>
      <c r="J117" s="4" t="n"/>
      <c r="K117" s="5">
        <f>IF(B117=FALSE,"",IF(D117="ACHAT",IF(AND(H117&lt;&gt;"",I117&lt;&gt;""),H117*I117,J117),IF(OR(D117="VENTE",D117="PERTE"),-ABS(J117),IF(D117="AJUSTEMENT",J117,""))))</f>
        <v/>
      </c>
      <c r="L117" s="4" t="n"/>
      <c r="M117" s="5">
        <f>IF(OR(L117="",I117=""),"",L117/I117)</f>
        <v/>
      </c>
      <c r="N117" s="5">
        <f>IF(D117&lt;&gt;"ACHAT","",K117*M117)</f>
        <v/>
      </c>
      <c r="O117" s="4" t="n"/>
      <c r="P117" s="5">
        <f>IF(D117&lt;&gt;"VENTE","",ABS(K117)*O117)</f>
        <v/>
      </c>
      <c r="Q117" s="4" t="n"/>
    </row>
    <row r="118">
      <c r="B118" s="4" t="n"/>
      <c r="C118" s="4" t="n"/>
      <c r="D118" s="4" t="n"/>
      <c r="E118" s="4" t="n"/>
      <c r="F118" s="5">
        <f>IF(E118="","",VLOOKUP(E118,Produits!$A:$J,2,FALSE))</f>
        <v/>
      </c>
      <c r="G118" s="5">
        <f>IF(E118="","",VLOOKUP(E118,Produits!$A:$J,3,FALSE))</f>
        <v/>
      </c>
      <c r="H118" s="4" t="n"/>
      <c r="I118" s="4" t="n"/>
      <c r="J118" s="4" t="n"/>
      <c r="K118" s="5">
        <f>IF(B118=FALSE,"",IF(D118="ACHAT",IF(AND(H118&lt;&gt;"",I118&lt;&gt;""),H118*I118,J118),IF(OR(D118="VENTE",D118="PERTE"),-ABS(J118),IF(D118="AJUSTEMENT",J118,""))))</f>
        <v/>
      </c>
      <c r="L118" s="4" t="n"/>
      <c r="M118" s="5">
        <f>IF(OR(L118="",I118=""),"",L118/I118)</f>
        <v/>
      </c>
      <c r="N118" s="5">
        <f>IF(D118&lt;&gt;"ACHAT","",K118*M118)</f>
        <v/>
      </c>
      <c r="O118" s="4" t="n"/>
      <c r="P118" s="5">
        <f>IF(D118&lt;&gt;"VENTE","",ABS(K118)*O118)</f>
        <v/>
      </c>
      <c r="Q118" s="4" t="n"/>
    </row>
    <row r="119">
      <c r="B119" s="4" t="n"/>
      <c r="C119" s="4" t="n"/>
      <c r="D119" s="4" t="n"/>
      <c r="E119" s="4" t="n"/>
      <c r="F119" s="5">
        <f>IF(E119="","",VLOOKUP(E119,Produits!$A:$J,2,FALSE))</f>
        <v/>
      </c>
      <c r="G119" s="5">
        <f>IF(E119="","",VLOOKUP(E119,Produits!$A:$J,3,FALSE))</f>
        <v/>
      </c>
      <c r="H119" s="4" t="n"/>
      <c r="I119" s="4" t="n"/>
      <c r="J119" s="4" t="n"/>
      <c r="K119" s="5">
        <f>IF(B119=FALSE,"",IF(D119="ACHAT",IF(AND(H119&lt;&gt;"",I119&lt;&gt;""),H119*I119,J119),IF(OR(D119="VENTE",D119="PERTE"),-ABS(J119),IF(D119="AJUSTEMENT",J119,""))))</f>
        <v/>
      </c>
      <c r="L119" s="4" t="n"/>
      <c r="M119" s="5">
        <f>IF(OR(L119="",I119=""),"",L119/I119)</f>
        <v/>
      </c>
      <c r="N119" s="5">
        <f>IF(D119&lt;&gt;"ACHAT","",K119*M119)</f>
        <v/>
      </c>
      <c r="O119" s="4" t="n"/>
      <c r="P119" s="5">
        <f>IF(D119&lt;&gt;"VENTE","",ABS(K119)*O119)</f>
        <v/>
      </c>
      <c r="Q119" s="4" t="n"/>
    </row>
    <row r="120">
      <c r="B120" s="4" t="n"/>
      <c r="C120" s="4" t="n"/>
      <c r="D120" s="4" t="n"/>
      <c r="E120" s="4" t="n"/>
      <c r="F120" s="5">
        <f>IF(E120="","",VLOOKUP(E120,Produits!$A:$J,2,FALSE))</f>
        <v/>
      </c>
      <c r="G120" s="5">
        <f>IF(E120="","",VLOOKUP(E120,Produits!$A:$J,3,FALSE))</f>
        <v/>
      </c>
      <c r="H120" s="4" t="n"/>
      <c r="I120" s="4" t="n"/>
      <c r="J120" s="4" t="n"/>
      <c r="K120" s="5">
        <f>IF(B120=FALSE,"",IF(D120="ACHAT",IF(AND(H120&lt;&gt;"",I120&lt;&gt;""),H120*I120,J120),IF(OR(D120="VENTE",D120="PERTE"),-ABS(J120),IF(D120="AJUSTEMENT",J120,""))))</f>
        <v/>
      </c>
      <c r="L120" s="4" t="n"/>
      <c r="M120" s="5">
        <f>IF(OR(L120="",I120=""),"",L120/I120)</f>
        <v/>
      </c>
      <c r="N120" s="5">
        <f>IF(D120&lt;&gt;"ACHAT","",K120*M120)</f>
        <v/>
      </c>
      <c r="O120" s="4" t="n"/>
      <c r="P120" s="5">
        <f>IF(D120&lt;&gt;"VENTE","",ABS(K120)*O120)</f>
        <v/>
      </c>
      <c r="Q120" s="4" t="n"/>
    </row>
    <row r="121">
      <c r="B121" s="4" t="n"/>
      <c r="C121" s="4" t="n"/>
      <c r="D121" s="4" t="n"/>
      <c r="E121" s="4" t="n"/>
      <c r="F121" s="5">
        <f>IF(E121="","",VLOOKUP(E121,Produits!$A:$J,2,FALSE))</f>
        <v/>
      </c>
      <c r="G121" s="5">
        <f>IF(E121="","",VLOOKUP(E121,Produits!$A:$J,3,FALSE))</f>
        <v/>
      </c>
      <c r="H121" s="4" t="n"/>
      <c r="I121" s="4" t="n"/>
      <c r="J121" s="4" t="n"/>
      <c r="K121" s="5">
        <f>IF(B121=FALSE,"",IF(D121="ACHAT",IF(AND(H121&lt;&gt;"",I121&lt;&gt;""),H121*I121,J121),IF(OR(D121="VENTE",D121="PERTE"),-ABS(J121),IF(D121="AJUSTEMENT",J121,""))))</f>
        <v/>
      </c>
      <c r="L121" s="4" t="n"/>
      <c r="M121" s="5">
        <f>IF(OR(L121="",I121=""),"",L121/I121)</f>
        <v/>
      </c>
      <c r="N121" s="5">
        <f>IF(D121&lt;&gt;"ACHAT","",K121*M121)</f>
        <v/>
      </c>
      <c r="O121" s="4" t="n"/>
      <c r="P121" s="5">
        <f>IF(D121&lt;&gt;"VENTE","",ABS(K121)*O121)</f>
        <v/>
      </c>
      <c r="Q121" s="4" t="n"/>
    </row>
    <row r="122">
      <c r="B122" s="4" t="n"/>
      <c r="C122" s="4" t="n"/>
      <c r="D122" s="4" t="n"/>
      <c r="E122" s="4" t="n"/>
      <c r="F122" s="5">
        <f>IF(E122="","",VLOOKUP(E122,Produits!$A:$J,2,FALSE))</f>
        <v/>
      </c>
      <c r="G122" s="5">
        <f>IF(E122="","",VLOOKUP(E122,Produits!$A:$J,3,FALSE))</f>
        <v/>
      </c>
      <c r="H122" s="4" t="n"/>
      <c r="I122" s="4" t="n"/>
      <c r="J122" s="4" t="n"/>
      <c r="K122" s="5">
        <f>IF(B122=FALSE,"",IF(D122="ACHAT",IF(AND(H122&lt;&gt;"",I122&lt;&gt;""),H122*I122,J122),IF(OR(D122="VENTE",D122="PERTE"),-ABS(J122),IF(D122="AJUSTEMENT",J122,""))))</f>
        <v/>
      </c>
      <c r="L122" s="4" t="n"/>
      <c r="M122" s="5">
        <f>IF(OR(L122="",I122=""),"",L122/I122)</f>
        <v/>
      </c>
      <c r="N122" s="5">
        <f>IF(D122&lt;&gt;"ACHAT","",K122*M122)</f>
        <v/>
      </c>
      <c r="O122" s="4" t="n"/>
      <c r="P122" s="5">
        <f>IF(D122&lt;&gt;"VENTE","",ABS(K122)*O122)</f>
        <v/>
      </c>
      <c r="Q122" s="4" t="n"/>
    </row>
    <row r="123">
      <c r="B123" s="4" t="n"/>
      <c r="C123" s="4" t="n"/>
      <c r="D123" s="4" t="n"/>
      <c r="E123" s="4" t="n"/>
      <c r="F123" s="5">
        <f>IF(E123="","",VLOOKUP(E123,Produits!$A:$J,2,FALSE))</f>
        <v/>
      </c>
      <c r="G123" s="5">
        <f>IF(E123="","",VLOOKUP(E123,Produits!$A:$J,3,FALSE))</f>
        <v/>
      </c>
      <c r="H123" s="4" t="n"/>
      <c r="I123" s="4" t="n"/>
      <c r="J123" s="4" t="n"/>
      <c r="K123" s="5">
        <f>IF(B123=FALSE,"",IF(D123="ACHAT",IF(AND(H123&lt;&gt;"",I123&lt;&gt;""),H123*I123,J123),IF(OR(D123="VENTE",D123="PERTE"),-ABS(J123),IF(D123="AJUSTEMENT",J123,""))))</f>
        <v/>
      </c>
      <c r="L123" s="4" t="n"/>
      <c r="M123" s="5">
        <f>IF(OR(L123="",I123=""),"",L123/I123)</f>
        <v/>
      </c>
      <c r="N123" s="5">
        <f>IF(D123&lt;&gt;"ACHAT","",K123*M123)</f>
        <v/>
      </c>
      <c r="O123" s="4" t="n"/>
      <c r="P123" s="5">
        <f>IF(D123&lt;&gt;"VENTE","",ABS(K123)*O123)</f>
        <v/>
      </c>
      <c r="Q123" s="4" t="n"/>
    </row>
    <row r="124">
      <c r="B124" s="4" t="n"/>
      <c r="C124" s="4" t="n"/>
      <c r="D124" s="4" t="n"/>
      <c r="E124" s="4" t="n"/>
      <c r="F124" s="5">
        <f>IF(E124="","",VLOOKUP(E124,Produits!$A:$J,2,FALSE))</f>
        <v/>
      </c>
      <c r="G124" s="5">
        <f>IF(E124="","",VLOOKUP(E124,Produits!$A:$J,3,FALSE))</f>
        <v/>
      </c>
      <c r="H124" s="4" t="n"/>
      <c r="I124" s="4" t="n"/>
      <c r="J124" s="4" t="n"/>
      <c r="K124" s="5">
        <f>IF(B124=FALSE,"",IF(D124="ACHAT",IF(AND(H124&lt;&gt;"",I124&lt;&gt;""),H124*I124,J124),IF(OR(D124="VENTE",D124="PERTE"),-ABS(J124),IF(D124="AJUSTEMENT",J124,""))))</f>
        <v/>
      </c>
      <c r="L124" s="4" t="n"/>
      <c r="M124" s="5">
        <f>IF(OR(L124="",I124=""),"",L124/I124)</f>
        <v/>
      </c>
      <c r="N124" s="5">
        <f>IF(D124&lt;&gt;"ACHAT","",K124*M124)</f>
        <v/>
      </c>
      <c r="O124" s="4" t="n"/>
      <c r="P124" s="5">
        <f>IF(D124&lt;&gt;"VENTE","",ABS(K124)*O124)</f>
        <v/>
      </c>
      <c r="Q124" s="4" t="n"/>
    </row>
    <row r="125">
      <c r="B125" s="4" t="n"/>
      <c r="C125" s="4" t="n"/>
      <c r="D125" s="4" t="n"/>
      <c r="E125" s="4" t="n"/>
      <c r="F125" s="5">
        <f>IF(E125="","",VLOOKUP(E125,Produits!$A:$J,2,FALSE))</f>
        <v/>
      </c>
      <c r="G125" s="5">
        <f>IF(E125="","",VLOOKUP(E125,Produits!$A:$J,3,FALSE))</f>
        <v/>
      </c>
      <c r="H125" s="4" t="n"/>
      <c r="I125" s="4" t="n"/>
      <c r="J125" s="4" t="n"/>
      <c r="K125" s="5">
        <f>IF(B125=FALSE,"",IF(D125="ACHAT",IF(AND(H125&lt;&gt;"",I125&lt;&gt;""),H125*I125,J125),IF(OR(D125="VENTE",D125="PERTE"),-ABS(J125),IF(D125="AJUSTEMENT",J125,""))))</f>
        <v/>
      </c>
      <c r="L125" s="4" t="n"/>
      <c r="M125" s="5">
        <f>IF(OR(L125="",I125=""),"",L125/I125)</f>
        <v/>
      </c>
      <c r="N125" s="5">
        <f>IF(D125&lt;&gt;"ACHAT","",K125*M125)</f>
        <v/>
      </c>
      <c r="O125" s="4" t="n"/>
      <c r="P125" s="5">
        <f>IF(D125&lt;&gt;"VENTE","",ABS(K125)*O125)</f>
        <v/>
      </c>
      <c r="Q125" s="4" t="n"/>
    </row>
    <row r="126">
      <c r="B126" s="4" t="n"/>
      <c r="C126" s="4" t="n"/>
      <c r="D126" s="4" t="n"/>
      <c r="E126" s="4" t="n"/>
      <c r="F126" s="5">
        <f>IF(E126="","",VLOOKUP(E126,Produits!$A:$J,2,FALSE))</f>
        <v/>
      </c>
      <c r="G126" s="5">
        <f>IF(E126="","",VLOOKUP(E126,Produits!$A:$J,3,FALSE))</f>
        <v/>
      </c>
      <c r="H126" s="4" t="n"/>
      <c r="I126" s="4" t="n"/>
      <c r="J126" s="4" t="n"/>
      <c r="K126" s="5">
        <f>IF(B126=FALSE,"",IF(D126="ACHAT",IF(AND(H126&lt;&gt;"",I126&lt;&gt;""),H126*I126,J126),IF(OR(D126="VENTE",D126="PERTE"),-ABS(J126),IF(D126="AJUSTEMENT",J126,""))))</f>
        <v/>
      </c>
      <c r="L126" s="4" t="n"/>
      <c r="M126" s="5">
        <f>IF(OR(L126="",I126=""),"",L126/I126)</f>
        <v/>
      </c>
      <c r="N126" s="5">
        <f>IF(D126&lt;&gt;"ACHAT","",K126*M126)</f>
        <v/>
      </c>
      <c r="O126" s="4" t="n"/>
      <c r="P126" s="5">
        <f>IF(D126&lt;&gt;"VENTE","",ABS(K126)*O126)</f>
        <v/>
      </c>
      <c r="Q126" s="4" t="n"/>
    </row>
    <row r="127">
      <c r="B127" s="4" t="n"/>
      <c r="C127" s="4" t="n"/>
      <c r="D127" s="4" t="n"/>
      <c r="E127" s="4" t="n"/>
      <c r="F127" s="5">
        <f>IF(E127="","",VLOOKUP(E127,Produits!$A:$J,2,FALSE))</f>
        <v/>
      </c>
      <c r="G127" s="5">
        <f>IF(E127="","",VLOOKUP(E127,Produits!$A:$J,3,FALSE))</f>
        <v/>
      </c>
      <c r="H127" s="4" t="n"/>
      <c r="I127" s="4" t="n"/>
      <c r="J127" s="4" t="n"/>
      <c r="K127" s="5">
        <f>IF(B127=FALSE,"",IF(D127="ACHAT",IF(AND(H127&lt;&gt;"",I127&lt;&gt;""),H127*I127,J127),IF(OR(D127="VENTE",D127="PERTE"),-ABS(J127),IF(D127="AJUSTEMENT",J127,""))))</f>
        <v/>
      </c>
      <c r="L127" s="4" t="n"/>
      <c r="M127" s="5">
        <f>IF(OR(L127="",I127=""),"",L127/I127)</f>
        <v/>
      </c>
      <c r="N127" s="5">
        <f>IF(D127&lt;&gt;"ACHAT","",K127*M127)</f>
        <v/>
      </c>
      <c r="O127" s="4" t="n"/>
      <c r="P127" s="5">
        <f>IF(D127&lt;&gt;"VENTE","",ABS(K127)*O127)</f>
        <v/>
      </c>
      <c r="Q127" s="4" t="n"/>
    </row>
    <row r="128">
      <c r="B128" s="4" t="n"/>
      <c r="C128" s="4" t="n"/>
      <c r="D128" s="4" t="n"/>
      <c r="E128" s="4" t="n"/>
      <c r="F128" s="5">
        <f>IF(E128="","",VLOOKUP(E128,Produits!$A:$J,2,FALSE))</f>
        <v/>
      </c>
      <c r="G128" s="5">
        <f>IF(E128="","",VLOOKUP(E128,Produits!$A:$J,3,FALSE))</f>
        <v/>
      </c>
      <c r="H128" s="4" t="n"/>
      <c r="I128" s="4" t="n"/>
      <c r="J128" s="4" t="n"/>
      <c r="K128" s="5">
        <f>IF(B128=FALSE,"",IF(D128="ACHAT",IF(AND(H128&lt;&gt;"",I128&lt;&gt;""),H128*I128,J128),IF(OR(D128="VENTE",D128="PERTE"),-ABS(J128),IF(D128="AJUSTEMENT",J128,""))))</f>
        <v/>
      </c>
      <c r="L128" s="4" t="n"/>
      <c r="M128" s="5">
        <f>IF(OR(L128="",I128=""),"",L128/I128)</f>
        <v/>
      </c>
      <c r="N128" s="5">
        <f>IF(D128&lt;&gt;"ACHAT","",K128*M128)</f>
        <v/>
      </c>
      <c r="O128" s="4" t="n"/>
      <c r="P128" s="5">
        <f>IF(D128&lt;&gt;"VENTE","",ABS(K128)*O128)</f>
        <v/>
      </c>
      <c r="Q128" s="4" t="n"/>
    </row>
    <row r="129">
      <c r="B129" s="4" t="n"/>
      <c r="C129" s="4" t="n"/>
      <c r="D129" s="4" t="n"/>
      <c r="E129" s="4" t="n"/>
      <c r="F129" s="5">
        <f>IF(E129="","",VLOOKUP(E129,Produits!$A:$J,2,FALSE))</f>
        <v/>
      </c>
      <c r="G129" s="5">
        <f>IF(E129="","",VLOOKUP(E129,Produits!$A:$J,3,FALSE))</f>
        <v/>
      </c>
      <c r="H129" s="4" t="n"/>
      <c r="I129" s="4" t="n"/>
      <c r="J129" s="4" t="n"/>
      <c r="K129" s="5">
        <f>IF(B129=FALSE,"",IF(D129="ACHAT",IF(AND(H129&lt;&gt;"",I129&lt;&gt;""),H129*I129,J129),IF(OR(D129="VENTE",D129="PERTE"),-ABS(J129),IF(D129="AJUSTEMENT",J129,""))))</f>
        <v/>
      </c>
      <c r="L129" s="4" t="n"/>
      <c r="M129" s="5">
        <f>IF(OR(L129="",I129=""),"",L129/I129)</f>
        <v/>
      </c>
      <c r="N129" s="5">
        <f>IF(D129&lt;&gt;"ACHAT","",K129*M129)</f>
        <v/>
      </c>
      <c r="O129" s="4" t="n"/>
      <c r="P129" s="5">
        <f>IF(D129&lt;&gt;"VENTE","",ABS(K129)*O129)</f>
        <v/>
      </c>
      <c r="Q129" s="4" t="n"/>
    </row>
    <row r="130">
      <c r="B130" s="4" t="n"/>
      <c r="C130" s="4" t="n"/>
      <c r="D130" s="4" t="n"/>
      <c r="E130" s="4" t="n"/>
      <c r="F130" s="5">
        <f>IF(E130="","",VLOOKUP(E130,Produits!$A:$J,2,FALSE))</f>
        <v/>
      </c>
      <c r="G130" s="5">
        <f>IF(E130="","",VLOOKUP(E130,Produits!$A:$J,3,FALSE))</f>
        <v/>
      </c>
      <c r="H130" s="4" t="n"/>
      <c r="I130" s="4" t="n"/>
      <c r="J130" s="4" t="n"/>
      <c r="K130" s="5">
        <f>IF(B130=FALSE,"",IF(D130="ACHAT",IF(AND(H130&lt;&gt;"",I130&lt;&gt;""),H130*I130,J130),IF(OR(D130="VENTE",D130="PERTE"),-ABS(J130),IF(D130="AJUSTEMENT",J130,""))))</f>
        <v/>
      </c>
      <c r="L130" s="4" t="n"/>
      <c r="M130" s="5">
        <f>IF(OR(L130="",I130=""),"",L130/I130)</f>
        <v/>
      </c>
      <c r="N130" s="5">
        <f>IF(D130&lt;&gt;"ACHAT","",K130*M130)</f>
        <v/>
      </c>
      <c r="O130" s="4" t="n"/>
      <c r="P130" s="5">
        <f>IF(D130&lt;&gt;"VENTE","",ABS(K130)*O130)</f>
        <v/>
      </c>
      <c r="Q130" s="4" t="n"/>
    </row>
    <row r="131">
      <c r="B131" s="4" t="n"/>
      <c r="C131" s="4" t="n"/>
      <c r="D131" s="4" t="n"/>
      <c r="E131" s="4" t="n"/>
      <c r="F131" s="5">
        <f>IF(E131="","",VLOOKUP(E131,Produits!$A:$J,2,FALSE))</f>
        <v/>
      </c>
      <c r="G131" s="5">
        <f>IF(E131="","",VLOOKUP(E131,Produits!$A:$J,3,FALSE))</f>
        <v/>
      </c>
      <c r="H131" s="4" t="n"/>
      <c r="I131" s="4" t="n"/>
      <c r="J131" s="4" t="n"/>
      <c r="K131" s="5">
        <f>IF(B131=FALSE,"",IF(D131="ACHAT",IF(AND(H131&lt;&gt;"",I131&lt;&gt;""),H131*I131,J131),IF(OR(D131="VENTE",D131="PERTE"),-ABS(J131),IF(D131="AJUSTEMENT",J131,""))))</f>
        <v/>
      </c>
      <c r="L131" s="4" t="n"/>
      <c r="M131" s="5">
        <f>IF(OR(L131="",I131=""),"",L131/I131)</f>
        <v/>
      </c>
      <c r="N131" s="5">
        <f>IF(D131&lt;&gt;"ACHAT","",K131*M131)</f>
        <v/>
      </c>
      <c r="O131" s="4" t="n"/>
      <c r="P131" s="5">
        <f>IF(D131&lt;&gt;"VENTE","",ABS(K131)*O131)</f>
        <v/>
      </c>
      <c r="Q131" s="4" t="n"/>
    </row>
    <row r="132">
      <c r="B132" s="4" t="n"/>
      <c r="C132" s="4" t="n"/>
      <c r="D132" s="4" t="n"/>
      <c r="E132" s="4" t="n"/>
      <c r="F132" s="5">
        <f>IF(E132="","",VLOOKUP(E132,Produits!$A:$J,2,FALSE))</f>
        <v/>
      </c>
      <c r="G132" s="5">
        <f>IF(E132="","",VLOOKUP(E132,Produits!$A:$J,3,FALSE))</f>
        <v/>
      </c>
      <c r="H132" s="4" t="n"/>
      <c r="I132" s="4" t="n"/>
      <c r="J132" s="4" t="n"/>
      <c r="K132" s="5">
        <f>IF(B132=FALSE,"",IF(D132="ACHAT",IF(AND(H132&lt;&gt;"",I132&lt;&gt;""),H132*I132,J132),IF(OR(D132="VENTE",D132="PERTE"),-ABS(J132),IF(D132="AJUSTEMENT",J132,""))))</f>
        <v/>
      </c>
      <c r="L132" s="4" t="n"/>
      <c r="M132" s="5">
        <f>IF(OR(L132="",I132=""),"",L132/I132)</f>
        <v/>
      </c>
      <c r="N132" s="5">
        <f>IF(D132&lt;&gt;"ACHAT","",K132*M132)</f>
        <v/>
      </c>
      <c r="O132" s="4" t="n"/>
      <c r="P132" s="5">
        <f>IF(D132&lt;&gt;"VENTE","",ABS(K132)*O132)</f>
        <v/>
      </c>
      <c r="Q132" s="4" t="n"/>
    </row>
    <row r="133">
      <c r="B133" s="4" t="n"/>
      <c r="C133" s="4" t="n"/>
      <c r="D133" s="4" t="n"/>
      <c r="E133" s="4" t="n"/>
      <c r="F133" s="5">
        <f>IF(E133="","",VLOOKUP(E133,Produits!$A:$J,2,FALSE))</f>
        <v/>
      </c>
      <c r="G133" s="5">
        <f>IF(E133="","",VLOOKUP(E133,Produits!$A:$J,3,FALSE))</f>
        <v/>
      </c>
      <c r="H133" s="4" t="n"/>
      <c r="I133" s="4" t="n"/>
      <c r="J133" s="4" t="n"/>
      <c r="K133" s="5">
        <f>IF(B133=FALSE,"",IF(D133="ACHAT",IF(AND(H133&lt;&gt;"",I133&lt;&gt;""),H133*I133,J133),IF(OR(D133="VENTE",D133="PERTE"),-ABS(J133),IF(D133="AJUSTEMENT",J133,""))))</f>
        <v/>
      </c>
      <c r="L133" s="4" t="n"/>
      <c r="M133" s="5">
        <f>IF(OR(L133="",I133=""),"",L133/I133)</f>
        <v/>
      </c>
      <c r="N133" s="5">
        <f>IF(D133&lt;&gt;"ACHAT","",K133*M133)</f>
        <v/>
      </c>
      <c r="O133" s="4" t="n"/>
      <c r="P133" s="5">
        <f>IF(D133&lt;&gt;"VENTE","",ABS(K133)*O133)</f>
        <v/>
      </c>
      <c r="Q133" s="4" t="n"/>
    </row>
    <row r="134">
      <c r="B134" s="4" t="n"/>
      <c r="C134" s="4" t="n"/>
      <c r="D134" s="4" t="n"/>
      <c r="E134" s="4" t="n"/>
      <c r="F134" s="5">
        <f>IF(E134="","",VLOOKUP(E134,Produits!$A:$J,2,FALSE))</f>
        <v/>
      </c>
      <c r="G134" s="5">
        <f>IF(E134="","",VLOOKUP(E134,Produits!$A:$J,3,FALSE))</f>
        <v/>
      </c>
      <c r="H134" s="4" t="n"/>
      <c r="I134" s="4" t="n"/>
      <c r="J134" s="4" t="n"/>
      <c r="K134" s="5">
        <f>IF(B134=FALSE,"",IF(D134="ACHAT",IF(AND(H134&lt;&gt;"",I134&lt;&gt;""),H134*I134,J134),IF(OR(D134="VENTE",D134="PERTE"),-ABS(J134),IF(D134="AJUSTEMENT",J134,""))))</f>
        <v/>
      </c>
      <c r="L134" s="4" t="n"/>
      <c r="M134" s="5">
        <f>IF(OR(L134="",I134=""),"",L134/I134)</f>
        <v/>
      </c>
      <c r="N134" s="5">
        <f>IF(D134&lt;&gt;"ACHAT","",K134*M134)</f>
        <v/>
      </c>
      <c r="O134" s="4" t="n"/>
      <c r="P134" s="5">
        <f>IF(D134&lt;&gt;"VENTE","",ABS(K134)*O134)</f>
        <v/>
      </c>
      <c r="Q134" s="4" t="n"/>
    </row>
    <row r="135">
      <c r="B135" s="4" t="n"/>
      <c r="C135" s="4" t="n"/>
      <c r="D135" s="4" t="n"/>
      <c r="E135" s="4" t="n"/>
      <c r="F135" s="5">
        <f>IF(E135="","",VLOOKUP(E135,Produits!$A:$J,2,FALSE))</f>
        <v/>
      </c>
      <c r="G135" s="5">
        <f>IF(E135="","",VLOOKUP(E135,Produits!$A:$J,3,FALSE))</f>
        <v/>
      </c>
      <c r="H135" s="4" t="n"/>
      <c r="I135" s="4" t="n"/>
      <c r="J135" s="4" t="n"/>
      <c r="K135" s="5">
        <f>IF(B135=FALSE,"",IF(D135="ACHAT",IF(AND(H135&lt;&gt;"",I135&lt;&gt;""),H135*I135,J135),IF(OR(D135="VENTE",D135="PERTE"),-ABS(J135),IF(D135="AJUSTEMENT",J135,""))))</f>
        <v/>
      </c>
      <c r="L135" s="4" t="n"/>
      <c r="M135" s="5">
        <f>IF(OR(L135="",I135=""),"",L135/I135)</f>
        <v/>
      </c>
      <c r="N135" s="5">
        <f>IF(D135&lt;&gt;"ACHAT","",K135*M135)</f>
        <v/>
      </c>
      <c r="O135" s="4" t="n"/>
      <c r="P135" s="5">
        <f>IF(D135&lt;&gt;"VENTE","",ABS(K135)*O135)</f>
        <v/>
      </c>
      <c r="Q135" s="4" t="n"/>
    </row>
    <row r="136">
      <c r="B136" s="4" t="n"/>
      <c r="C136" s="4" t="n"/>
      <c r="D136" s="4" t="n"/>
      <c r="E136" s="4" t="n"/>
      <c r="F136" s="5">
        <f>IF(E136="","",VLOOKUP(E136,Produits!$A:$J,2,FALSE))</f>
        <v/>
      </c>
      <c r="G136" s="5">
        <f>IF(E136="","",VLOOKUP(E136,Produits!$A:$J,3,FALSE))</f>
        <v/>
      </c>
      <c r="H136" s="4" t="n"/>
      <c r="I136" s="4" t="n"/>
      <c r="J136" s="4" t="n"/>
      <c r="K136" s="5">
        <f>IF(B136=FALSE,"",IF(D136="ACHAT",IF(AND(H136&lt;&gt;"",I136&lt;&gt;""),H136*I136,J136),IF(OR(D136="VENTE",D136="PERTE"),-ABS(J136),IF(D136="AJUSTEMENT",J136,""))))</f>
        <v/>
      </c>
      <c r="L136" s="4" t="n"/>
      <c r="M136" s="5">
        <f>IF(OR(L136="",I136=""),"",L136/I136)</f>
        <v/>
      </c>
      <c r="N136" s="5">
        <f>IF(D136&lt;&gt;"ACHAT","",K136*M136)</f>
        <v/>
      </c>
      <c r="O136" s="4" t="n"/>
      <c r="P136" s="5">
        <f>IF(D136&lt;&gt;"VENTE","",ABS(K136)*O136)</f>
        <v/>
      </c>
      <c r="Q136" s="4" t="n"/>
    </row>
    <row r="137">
      <c r="B137" s="4" t="n"/>
      <c r="C137" s="4" t="n"/>
      <c r="D137" s="4" t="n"/>
      <c r="E137" s="4" t="n"/>
      <c r="F137" s="5">
        <f>IF(E137="","",VLOOKUP(E137,Produits!$A:$J,2,FALSE))</f>
        <v/>
      </c>
      <c r="G137" s="5">
        <f>IF(E137="","",VLOOKUP(E137,Produits!$A:$J,3,FALSE))</f>
        <v/>
      </c>
      <c r="H137" s="4" t="n"/>
      <c r="I137" s="4" t="n"/>
      <c r="J137" s="4" t="n"/>
      <c r="K137" s="5">
        <f>IF(B137=FALSE,"",IF(D137="ACHAT",IF(AND(H137&lt;&gt;"",I137&lt;&gt;""),H137*I137,J137),IF(OR(D137="VENTE",D137="PERTE"),-ABS(J137),IF(D137="AJUSTEMENT",J137,""))))</f>
        <v/>
      </c>
      <c r="L137" s="4" t="n"/>
      <c r="M137" s="5">
        <f>IF(OR(L137="",I137=""),"",L137/I137)</f>
        <v/>
      </c>
      <c r="N137" s="5">
        <f>IF(D137&lt;&gt;"ACHAT","",K137*M137)</f>
        <v/>
      </c>
      <c r="O137" s="4" t="n"/>
      <c r="P137" s="5">
        <f>IF(D137&lt;&gt;"VENTE","",ABS(K137)*O137)</f>
        <v/>
      </c>
      <c r="Q137" s="4" t="n"/>
    </row>
    <row r="138">
      <c r="B138" s="4" t="n"/>
      <c r="C138" s="4" t="n"/>
      <c r="D138" s="4" t="n"/>
      <c r="E138" s="4" t="n"/>
      <c r="F138" s="5">
        <f>IF(E138="","",VLOOKUP(E138,Produits!$A:$J,2,FALSE))</f>
        <v/>
      </c>
      <c r="G138" s="5">
        <f>IF(E138="","",VLOOKUP(E138,Produits!$A:$J,3,FALSE))</f>
        <v/>
      </c>
      <c r="H138" s="4" t="n"/>
      <c r="I138" s="4" t="n"/>
      <c r="J138" s="4" t="n"/>
      <c r="K138" s="5">
        <f>IF(B138=FALSE,"",IF(D138="ACHAT",IF(AND(H138&lt;&gt;"",I138&lt;&gt;""),H138*I138,J138),IF(OR(D138="VENTE",D138="PERTE"),-ABS(J138),IF(D138="AJUSTEMENT",J138,""))))</f>
        <v/>
      </c>
      <c r="L138" s="4" t="n"/>
      <c r="M138" s="5">
        <f>IF(OR(L138="",I138=""),"",L138/I138)</f>
        <v/>
      </c>
      <c r="N138" s="5">
        <f>IF(D138&lt;&gt;"ACHAT","",K138*M138)</f>
        <v/>
      </c>
      <c r="O138" s="4" t="n"/>
      <c r="P138" s="5">
        <f>IF(D138&lt;&gt;"VENTE","",ABS(K138)*O138)</f>
        <v/>
      </c>
      <c r="Q138" s="4" t="n"/>
    </row>
    <row r="139">
      <c r="B139" s="4" t="n"/>
      <c r="C139" s="4" t="n"/>
      <c r="D139" s="4" t="n"/>
      <c r="E139" s="4" t="n"/>
      <c r="F139" s="5">
        <f>IF(E139="","",VLOOKUP(E139,Produits!$A:$J,2,FALSE))</f>
        <v/>
      </c>
      <c r="G139" s="5">
        <f>IF(E139="","",VLOOKUP(E139,Produits!$A:$J,3,FALSE))</f>
        <v/>
      </c>
      <c r="H139" s="4" t="n"/>
      <c r="I139" s="4" t="n"/>
      <c r="J139" s="4" t="n"/>
      <c r="K139" s="5">
        <f>IF(B139=FALSE,"",IF(D139="ACHAT",IF(AND(H139&lt;&gt;"",I139&lt;&gt;""),H139*I139,J139),IF(OR(D139="VENTE",D139="PERTE"),-ABS(J139),IF(D139="AJUSTEMENT",J139,""))))</f>
        <v/>
      </c>
      <c r="L139" s="4" t="n"/>
      <c r="M139" s="5">
        <f>IF(OR(L139="",I139=""),"",L139/I139)</f>
        <v/>
      </c>
      <c r="N139" s="5">
        <f>IF(D139&lt;&gt;"ACHAT","",K139*M139)</f>
        <v/>
      </c>
      <c r="O139" s="4" t="n"/>
      <c r="P139" s="5">
        <f>IF(D139&lt;&gt;"VENTE","",ABS(K139)*O139)</f>
        <v/>
      </c>
      <c r="Q139" s="4" t="n"/>
    </row>
    <row r="140">
      <c r="B140" s="4" t="n"/>
      <c r="C140" s="4" t="n"/>
      <c r="D140" s="4" t="n"/>
      <c r="E140" s="4" t="n"/>
      <c r="F140" s="5">
        <f>IF(E140="","",VLOOKUP(E140,Produits!$A:$J,2,FALSE))</f>
        <v/>
      </c>
      <c r="G140" s="5">
        <f>IF(E140="","",VLOOKUP(E140,Produits!$A:$J,3,FALSE))</f>
        <v/>
      </c>
      <c r="H140" s="4" t="n"/>
      <c r="I140" s="4" t="n"/>
      <c r="J140" s="4" t="n"/>
      <c r="K140" s="5">
        <f>IF(B140=FALSE,"",IF(D140="ACHAT",IF(AND(H140&lt;&gt;"",I140&lt;&gt;""),H140*I140,J140),IF(OR(D140="VENTE",D140="PERTE"),-ABS(J140),IF(D140="AJUSTEMENT",J140,""))))</f>
        <v/>
      </c>
      <c r="L140" s="4" t="n"/>
      <c r="M140" s="5">
        <f>IF(OR(L140="",I140=""),"",L140/I140)</f>
        <v/>
      </c>
      <c r="N140" s="5">
        <f>IF(D140&lt;&gt;"ACHAT","",K140*M140)</f>
        <v/>
      </c>
      <c r="O140" s="4" t="n"/>
      <c r="P140" s="5">
        <f>IF(D140&lt;&gt;"VENTE","",ABS(K140)*O140)</f>
        <v/>
      </c>
      <c r="Q140" s="4" t="n"/>
    </row>
    <row r="141">
      <c r="B141" s="4" t="n"/>
      <c r="C141" s="4" t="n"/>
      <c r="D141" s="4" t="n"/>
      <c r="E141" s="4" t="n"/>
      <c r="F141" s="5">
        <f>IF(E141="","",VLOOKUP(E141,Produits!$A:$J,2,FALSE))</f>
        <v/>
      </c>
      <c r="G141" s="5">
        <f>IF(E141="","",VLOOKUP(E141,Produits!$A:$J,3,FALSE))</f>
        <v/>
      </c>
      <c r="H141" s="4" t="n"/>
      <c r="I141" s="4" t="n"/>
      <c r="J141" s="4" t="n"/>
      <c r="K141" s="5">
        <f>IF(B141=FALSE,"",IF(D141="ACHAT",IF(AND(H141&lt;&gt;"",I141&lt;&gt;""),H141*I141,J141),IF(OR(D141="VENTE",D141="PERTE"),-ABS(J141),IF(D141="AJUSTEMENT",J141,""))))</f>
        <v/>
      </c>
      <c r="L141" s="4" t="n"/>
      <c r="M141" s="5">
        <f>IF(OR(L141="",I141=""),"",L141/I141)</f>
        <v/>
      </c>
      <c r="N141" s="5">
        <f>IF(D141&lt;&gt;"ACHAT","",K141*M141)</f>
        <v/>
      </c>
      <c r="O141" s="4" t="n"/>
      <c r="P141" s="5">
        <f>IF(D141&lt;&gt;"VENTE","",ABS(K141)*O141)</f>
        <v/>
      </c>
      <c r="Q141" s="4" t="n"/>
    </row>
    <row r="142">
      <c r="B142" s="4" t="n"/>
      <c r="C142" s="4" t="n"/>
      <c r="D142" s="4" t="n"/>
      <c r="E142" s="4" t="n"/>
      <c r="F142" s="5">
        <f>IF(E142="","",VLOOKUP(E142,Produits!$A:$J,2,FALSE))</f>
        <v/>
      </c>
      <c r="G142" s="5">
        <f>IF(E142="","",VLOOKUP(E142,Produits!$A:$J,3,FALSE))</f>
        <v/>
      </c>
      <c r="H142" s="4" t="n"/>
      <c r="I142" s="4" t="n"/>
      <c r="J142" s="4" t="n"/>
      <c r="K142" s="5">
        <f>IF(B142=FALSE,"",IF(D142="ACHAT",IF(AND(H142&lt;&gt;"",I142&lt;&gt;""),H142*I142,J142),IF(OR(D142="VENTE",D142="PERTE"),-ABS(J142),IF(D142="AJUSTEMENT",J142,""))))</f>
        <v/>
      </c>
      <c r="L142" s="4" t="n"/>
      <c r="M142" s="5">
        <f>IF(OR(L142="",I142=""),"",L142/I142)</f>
        <v/>
      </c>
      <c r="N142" s="5">
        <f>IF(D142&lt;&gt;"ACHAT","",K142*M142)</f>
        <v/>
      </c>
      <c r="O142" s="4" t="n"/>
      <c r="P142" s="5">
        <f>IF(D142&lt;&gt;"VENTE","",ABS(K142)*O142)</f>
        <v/>
      </c>
      <c r="Q142" s="4" t="n"/>
    </row>
    <row r="143">
      <c r="B143" s="4" t="n"/>
      <c r="C143" s="4" t="n"/>
      <c r="D143" s="4" t="n"/>
      <c r="E143" s="4" t="n"/>
      <c r="F143" s="5">
        <f>IF(E143="","",VLOOKUP(E143,Produits!$A:$J,2,FALSE))</f>
        <v/>
      </c>
      <c r="G143" s="5">
        <f>IF(E143="","",VLOOKUP(E143,Produits!$A:$J,3,FALSE))</f>
        <v/>
      </c>
      <c r="H143" s="4" t="n"/>
      <c r="I143" s="4" t="n"/>
      <c r="J143" s="4" t="n"/>
      <c r="K143" s="5">
        <f>IF(B143=FALSE,"",IF(D143="ACHAT",IF(AND(H143&lt;&gt;"",I143&lt;&gt;""),H143*I143,J143),IF(OR(D143="VENTE",D143="PERTE"),-ABS(J143),IF(D143="AJUSTEMENT",J143,""))))</f>
        <v/>
      </c>
      <c r="L143" s="4" t="n"/>
      <c r="M143" s="5">
        <f>IF(OR(L143="",I143=""),"",L143/I143)</f>
        <v/>
      </c>
      <c r="N143" s="5">
        <f>IF(D143&lt;&gt;"ACHAT","",K143*M143)</f>
        <v/>
      </c>
      <c r="O143" s="4" t="n"/>
      <c r="P143" s="5">
        <f>IF(D143&lt;&gt;"VENTE","",ABS(K143)*O143)</f>
        <v/>
      </c>
      <c r="Q143" s="4" t="n"/>
    </row>
    <row r="144">
      <c r="B144" s="4" t="n"/>
      <c r="C144" s="4" t="n"/>
      <c r="D144" s="4" t="n"/>
      <c r="E144" s="4" t="n"/>
      <c r="F144" s="5">
        <f>IF(E144="","",VLOOKUP(E144,Produits!$A:$J,2,FALSE))</f>
        <v/>
      </c>
      <c r="G144" s="5">
        <f>IF(E144="","",VLOOKUP(E144,Produits!$A:$J,3,FALSE))</f>
        <v/>
      </c>
      <c r="H144" s="4" t="n"/>
      <c r="I144" s="4" t="n"/>
      <c r="J144" s="4" t="n"/>
      <c r="K144" s="5">
        <f>IF(B144=FALSE,"",IF(D144="ACHAT",IF(AND(H144&lt;&gt;"",I144&lt;&gt;""),H144*I144,J144),IF(OR(D144="VENTE",D144="PERTE"),-ABS(J144),IF(D144="AJUSTEMENT",J144,""))))</f>
        <v/>
      </c>
      <c r="L144" s="4" t="n"/>
      <c r="M144" s="5">
        <f>IF(OR(L144="",I144=""),"",L144/I144)</f>
        <v/>
      </c>
      <c r="N144" s="5">
        <f>IF(D144&lt;&gt;"ACHAT","",K144*M144)</f>
        <v/>
      </c>
      <c r="O144" s="4" t="n"/>
      <c r="P144" s="5">
        <f>IF(D144&lt;&gt;"VENTE","",ABS(K144)*O144)</f>
        <v/>
      </c>
      <c r="Q144" s="4" t="n"/>
    </row>
    <row r="145">
      <c r="B145" s="4" t="n"/>
      <c r="C145" s="4" t="n"/>
      <c r="D145" s="4" t="n"/>
      <c r="E145" s="4" t="n"/>
      <c r="F145" s="5">
        <f>IF(E145="","",VLOOKUP(E145,Produits!$A:$J,2,FALSE))</f>
        <v/>
      </c>
      <c r="G145" s="5">
        <f>IF(E145="","",VLOOKUP(E145,Produits!$A:$J,3,FALSE))</f>
        <v/>
      </c>
      <c r="H145" s="4" t="n"/>
      <c r="I145" s="4" t="n"/>
      <c r="J145" s="4" t="n"/>
      <c r="K145" s="5">
        <f>IF(B145=FALSE,"",IF(D145="ACHAT",IF(AND(H145&lt;&gt;"",I145&lt;&gt;""),H145*I145,J145),IF(OR(D145="VENTE",D145="PERTE"),-ABS(J145),IF(D145="AJUSTEMENT",J145,""))))</f>
        <v/>
      </c>
      <c r="L145" s="4" t="n"/>
      <c r="M145" s="5">
        <f>IF(OR(L145="",I145=""),"",L145/I145)</f>
        <v/>
      </c>
      <c r="N145" s="5">
        <f>IF(D145&lt;&gt;"ACHAT","",K145*M145)</f>
        <v/>
      </c>
      <c r="O145" s="4" t="n"/>
      <c r="P145" s="5">
        <f>IF(D145&lt;&gt;"VENTE","",ABS(K145)*O145)</f>
        <v/>
      </c>
      <c r="Q145" s="4" t="n"/>
    </row>
    <row r="146">
      <c r="B146" s="4" t="n"/>
      <c r="C146" s="4" t="n"/>
      <c r="D146" s="4" t="n"/>
      <c r="E146" s="4" t="n"/>
      <c r="F146" s="5">
        <f>IF(E146="","",VLOOKUP(E146,Produits!$A:$J,2,FALSE))</f>
        <v/>
      </c>
      <c r="G146" s="5">
        <f>IF(E146="","",VLOOKUP(E146,Produits!$A:$J,3,FALSE))</f>
        <v/>
      </c>
      <c r="H146" s="4" t="n"/>
      <c r="I146" s="4" t="n"/>
      <c r="J146" s="4" t="n"/>
      <c r="K146" s="5">
        <f>IF(B146=FALSE,"",IF(D146="ACHAT",IF(AND(H146&lt;&gt;"",I146&lt;&gt;""),H146*I146,J146),IF(OR(D146="VENTE",D146="PERTE"),-ABS(J146),IF(D146="AJUSTEMENT",J146,""))))</f>
        <v/>
      </c>
      <c r="L146" s="4" t="n"/>
      <c r="M146" s="5">
        <f>IF(OR(L146="",I146=""),"",L146/I146)</f>
        <v/>
      </c>
      <c r="N146" s="5">
        <f>IF(D146&lt;&gt;"ACHAT","",K146*M146)</f>
        <v/>
      </c>
      <c r="O146" s="4" t="n"/>
      <c r="P146" s="5">
        <f>IF(D146&lt;&gt;"VENTE","",ABS(K146)*O146)</f>
        <v/>
      </c>
      <c r="Q146" s="4" t="n"/>
    </row>
    <row r="147">
      <c r="B147" s="4" t="n"/>
      <c r="C147" s="4" t="n"/>
      <c r="D147" s="4" t="n"/>
      <c r="E147" s="4" t="n"/>
      <c r="F147" s="5">
        <f>IF(E147="","",VLOOKUP(E147,Produits!$A:$J,2,FALSE))</f>
        <v/>
      </c>
      <c r="G147" s="5">
        <f>IF(E147="","",VLOOKUP(E147,Produits!$A:$J,3,FALSE))</f>
        <v/>
      </c>
      <c r="H147" s="4" t="n"/>
      <c r="I147" s="4" t="n"/>
      <c r="J147" s="4" t="n"/>
      <c r="K147" s="5">
        <f>IF(B147=FALSE,"",IF(D147="ACHAT",IF(AND(H147&lt;&gt;"",I147&lt;&gt;""),H147*I147,J147),IF(OR(D147="VENTE",D147="PERTE"),-ABS(J147),IF(D147="AJUSTEMENT",J147,""))))</f>
        <v/>
      </c>
      <c r="L147" s="4" t="n"/>
      <c r="M147" s="5">
        <f>IF(OR(L147="",I147=""),"",L147/I147)</f>
        <v/>
      </c>
      <c r="N147" s="5">
        <f>IF(D147&lt;&gt;"ACHAT","",K147*M147)</f>
        <v/>
      </c>
      <c r="O147" s="4" t="n"/>
      <c r="P147" s="5">
        <f>IF(D147&lt;&gt;"VENTE","",ABS(K147)*O147)</f>
        <v/>
      </c>
      <c r="Q147" s="4" t="n"/>
    </row>
    <row r="148">
      <c r="B148" s="4" t="n"/>
      <c r="C148" s="4" t="n"/>
      <c r="D148" s="4" t="n"/>
      <c r="E148" s="4" t="n"/>
      <c r="F148" s="5">
        <f>IF(E148="","",VLOOKUP(E148,Produits!$A:$J,2,FALSE))</f>
        <v/>
      </c>
      <c r="G148" s="5">
        <f>IF(E148="","",VLOOKUP(E148,Produits!$A:$J,3,FALSE))</f>
        <v/>
      </c>
      <c r="H148" s="4" t="n"/>
      <c r="I148" s="4" t="n"/>
      <c r="J148" s="4" t="n"/>
      <c r="K148" s="5">
        <f>IF(B148=FALSE,"",IF(D148="ACHAT",IF(AND(H148&lt;&gt;"",I148&lt;&gt;""),H148*I148,J148),IF(OR(D148="VENTE",D148="PERTE"),-ABS(J148),IF(D148="AJUSTEMENT",J148,""))))</f>
        <v/>
      </c>
      <c r="L148" s="4" t="n"/>
      <c r="M148" s="5">
        <f>IF(OR(L148="",I148=""),"",L148/I148)</f>
        <v/>
      </c>
      <c r="N148" s="5">
        <f>IF(D148&lt;&gt;"ACHAT","",K148*M148)</f>
        <v/>
      </c>
      <c r="O148" s="4" t="n"/>
      <c r="P148" s="5">
        <f>IF(D148&lt;&gt;"VENTE","",ABS(K148)*O148)</f>
        <v/>
      </c>
      <c r="Q148" s="4" t="n"/>
    </row>
    <row r="149">
      <c r="B149" s="4" t="n"/>
      <c r="C149" s="4" t="n"/>
      <c r="D149" s="4" t="n"/>
      <c r="E149" s="4" t="n"/>
      <c r="F149" s="5">
        <f>IF(E149="","",VLOOKUP(E149,Produits!$A:$J,2,FALSE))</f>
        <v/>
      </c>
      <c r="G149" s="5">
        <f>IF(E149="","",VLOOKUP(E149,Produits!$A:$J,3,FALSE))</f>
        <v/>
      </c>
      <c r="H149" s="4" t="n"/>
      <c r="I149" s="4" t="n"/>
      <c r="J149" s="4" t="n"/>
      <c r="K149" s="5">
        <f>IF(B149=FALSE,"",IF(D149="ACHAT",IF(AND(H149&lt;&gt;"",I149&lt;&gt;""),H149*I149,J149),IF(OR(D149="VENTE",D149="PERTE"),-ABS(J149),IF(D149="AJUSTEMENT",J149,""))))</f>
        <v/>
      </c>
      <c r="L149" s="4" t="n"/>
      <c r="M149" s="5">
        <f>IF(OR(L149="",I149=""),"",L149/I149)</f>
        <v/>
      </c>
      <c r="N149" s="5">
        <f>IF(D149&lt;&gt;"ACHAT","",K149*M149)</f>
        <v/>
      </c>
      <c r="O149" s="4" t="n"/>
      <c r="P149" s="5">
        <f>IF(D149&lt;&gt;"VENTE","",ABS(K149)*O149)</f>
        <v/>
      </c>
      <c r="Q149" s="4" t="n"/>
    </row>
    <row r="150">
      <c r="B150" s="4" t="n"/>
      <c r="C150" s="4" t="n"/>
      <c r="D150" s="4" t="n"/>
      <c r="E150" s="4" t="n"/>
      <c r="F150" s="5">
        <f>IF(E150="","",VLOOKUP(E150,Produits!$A:$J,2,FALSE))</f>
        <v/>
      </c>
      <c r="G150" s="5">
        <f>IF(E150="","",VLOOKUP(E150,Produits!$A:$J,3,FALSE))</f>
        <v/>
      </c>
      <c r="H150" s="4" t="n"/>
      <c r="I150" s="4" t="n"/>
      <c r="J150" s="4" t="n"/>
      <c r="K150" s="5">
        <f>IF(B150=FALSE,"",IF(D150="ACHAT",IF(AND(H150&lt;&gt;"",I150&lt;&gt;""),H150*I150,J150),IF(OR(D150="VENTE",D150="PERTE"),-ABS(J150),IF(D150="AJUSTEMENT",J150,""))))</f>
        <v/>
      </c>
      <c r="L150" s="4" t="n"/>
      <c r="M150" s="5">
        <f>IF(OR(L150="",I150=""),"",L150/I150)</f>
        <v/>
      </c>
      <c r="N150" s="5">
        <f>IF(D150&lt;&gt;"ACHAT","",K150*M150)</f>
        <v/>
      </c>
      <c r="O150" s="4" t="n"/>
      <c r="P150" s="5">
        <f>IF(D150&lt;&gt;"VENTE","",ABS(K150)*O150)</f>
        <v/>
      </c>
      <c r="Q150" s="4" t="n"/>
    </row>
    <row r="151">
      <c r="B151" s="4" t="n"/>
      <c r="C151" s="4" t="n"/>
      <c r="D151" s="4" t="n"/>
      <c r="E151" s="4" t="n"/>
      <c r="F151" s="5">
        <f>IF(E151="","",VLOOKUP(E151,Produits!$A:$J,2,FALSE))</f>
        <v/>
      </c>
      <c r="G151" s="5">
        <f>IF(E151="","",VLOOKUP(E151,Produits!$A:$J,3,FALSE))</f>
        <v/>
      </c>
      <c r="H151" s="4" t="n"/>
      <c r="I151" s="4" t="n"/>
      <c r="J151" s="4" t="n"/>
      <c r="K151" s="5">
        <f>IF(B151=FALSE,"",IF(D151="ACHAT",IF(AND(H151&lt;&gt;"",I151&lt;&gt;""),H151*I151,J151),IF(OR(D151="VENTE",D151="PERTE"),-ABS(J151),IF(D151="AJUSTEMENT",J151,""))))</f>
        <v/>
      </c>
      <c r="L151" s="4" t="n"/>
      <c r="M151" s="5">
        <f>IF(OR(L151="",I151=""),"",L151/I151)</f>
        <v/>
      </c>
      <c r="N151" s="5">
        <f>IF(D151&lt;&gt;"ACHAT","",K151*M151)</f>
        <v/>
      </c>
      <c r="O151" s="4" t="n"/>
      <c r="P151" s="5">
        <f>IF(D151&lt;&gt;"VENTE","",ABS(K151)*O151)</f>
        <v/>
      </c>
      <c r="Q151" s="4" t="n"/>
    </row>
    <row r="152">
      <c r="B152" s="4" t="n"/>
      <c r="C152" s="4" t="n"/>
      <c r="D152" s="4" t="n"/>
      <c r="E152" s="4" t="n"/>
      <c r="F152" s="5">
        <f>IF(E152="","",VLOOKUP(E152,Produits!$A:$J,2,FALSE))</f>
        <v/>
      </c>
      <c r="G152" s="5">
        <f>IF(E152="","",VLOOKUP(E152,Produits!$A:$J,3,FALSE))</f>
        <v/>
      </c>
      <c r="H152" s="4" t="n"/>
      <c r="I152" s="4" t="n"/>
      <c r="J152" s="4" t="n"/>
      <c r="K152" s="5">
        <f>IF(B152=FALSE,"",IF(D152="ACHAT",IF(AND(H152&lt;&gt;"",I152&lt;&gt;""),H152*I152,J152),IF(OR(D152="VENTE",D152="PERTE"),-ABS(J152),IF(D152="AJUSTEMENT",J152,""))))</f>
        <v/>
      </c>
      <c r="L152" s="4" t="n"/>
      <c r="M152" s="5">
        <f>IF(OR(L152="",I152=""),"",L152/I152)</f>
        <v/>
      </c>
      <c r="N152" s="5">
        <f>IF(D152&lt;&gt;"ACHAT","",K152*M152)</f>
        <v/>
      </c>
      <c r="O152" s="4" t="n"/>
      <c r="P152" s="5">
        <f>IF(D152&lt;&gt;"VENTE","",ABS(K152)*O152)</f>
        <v/>
      </c>
      <c r="Q152" s="4" t="n"/>
    </row>
    <row r="153">
      <c r="B153" s="4" t="n"/>
      <c r="C153" s="4" t="n"/>
      <c r="D153" s="4" t="n"/>
      <c r="E153" s="4" t="n"/>
      <c r="F153" s="5">
        <f>IF(E153="","",VLOOKUP(E153,Produits!$A:$J,2,FALSE))</f>
        <v/>
      </c>
      <c r="G153" s="5">
        <f>IF(E153="","",VLOOKUP(E153,Produits!$A:$J,3,FALSE))</f>
        <v/>
      </c>
      <c r="H153" s="4" t="n"/>
      <c r="I153" s="4" t="n"/>
      <c r="J153" s="4" t="n"/>
      <c r="K153" s="5">
        <f>IF(B153=FALSE,"",IF(D153="ACHAT",IF(AND(H153&lt;&gt;"",I153&lt;&gt;""),H153*I153,J153),IF(OR(D153="VENTE",D153="PERTE"),-ABS(J153),IF(D153="AJUSTEMENT",J153,""))))</f>
        <v/>
      </c>
      <c r="L153" s="4" t="n"/>
      <c r="M153" s="5">
        <f>IF(OR(L153="",I153=""),"",L153/I153)</f>
        <v/>
      </c>
      <c r="N153" s="5">
        <f>IF(D153&lt;&gt;"ACHAT","",K153*M153)</f>
        <v/>
      </c>
      <c r="O153" s="4" t="n"/>
      <c r="P153" s="5">
        <f>IF(D153&lt;&gt;"VENTE","",ABS(K153)*O153)</f>
        <v/>
      </c>
      <c r="Q153" s="4" t="n"/>
    </row>
    <row r="154">
      <c r="B154" s="4" t="n"/>
      <c r="C154" s="4" t="n"/>
      <c r="D154" s="4" t="n"/>
      <c r="E154" s="4" t="n"/>
      <c r="F154" s="5">
        <f>IF(E154="","",VLOOKUP(E154,Produits!$A:$J,2,FALSE))</f>
        <v/>
      </c>
      <c r="G154" s="5">
        <f>IF(E154="","",VLOOKUP(E154,Produits!$A:$J,3,FALSE))</f>
        <v/>
      </c>
      <c r="H154" s="4" t="n"/>
      <c r="I154" s="4" t="n"/>
      <c r="J154" s="4" t="n"/>
      <c r="K154" s="5">
        <f>IF(B154=FALSE,"",IF(D154="ACHAT",IF(AND(H154&lt;&gt;"",I154&lt;&gt;""),H154*I154,J154),IF(OR(D154="VENTE",D154="PERTE"),-ABS(J154),IF(D154="AJUSTEMENT",J154,""))))</f>
        <v/>
      </c>
      <c r="L154" s="4" t="n"/>
      <c r="M154" s="5">
        <f>IF(OR(L154="",I154=""),"",L154/I154)</f>
        <v/>
      </c>
      <c r="N154" s="5">
        <f>IF(D154&lt;&gt;"ACHAT","",K154*M154)</f>
        <v/>
      </c>
      <c r="O154" s="4" t="n"/>
      <c r="P154" s="5">
        <f>IF(D154&lt;&gt;"VENTE","",ABS(K154)*O154)</f>
        <v/>
      </c>
      <c r="Q154" s="4" t="n"/>
    </row>
    <row r="155">
      <c r="B155" s="4" t="n"/>
      <c r="C155" s="4" t="n"/>
      <c r="D155" s="4" t="n"/>
      <c r="E155" s="4" t="n"/>
      <c r="F155" s="5">
        <f>IF(E155="","",VLOOKUP(E155,Produits!$A:$J,2,FALSE))</f>
        <v/>
      </c>
      <c r="G155" s="5">
        <f>IF(E155="","",VLOOKUP(E155,Produits!$A:$J,3,FALSE))</f>
        <v/>
      </c>
      <c r="H155" s="4" t="n"/>
      <c r="I155" s="4" t="n"/>
      <c r="J155" s="4" t="n"/>
      <c r="K155" s="5">
        <f>IF(B155=FALSE,"",IF(D155="ACHAT",IF(AND(H155&lt;&gt;"",I155&lt;&gt;""),H155*I155,J155),IF(OR(D155="VENTE",D155="PERTE"),-ABS(J155),IF(D155="AJUSTEMENT",J155,""))))</f>
        <v/>
      </c>
      <c r="L155" s="4" t="n"/>
      <c r="M155" s="5">
        <f>IF(OR(L155="",I155=""),"",L155/I155)</f>
        <v/>
      </c>
      <c r="N155" s="5">
        <f>IF(D155&lt;&gt;"ACHAT","",K155*M155)</f>
        <v/>
      </c>
      <c r="O155" s="4" t="n"/>
      <c r="P155" s="5">
        <f>IF(D155&lt;&gt;"VENTE","",ABS(K155)*O155)</f>
        <v/>
      </c>
      <c r="Q155" s="4" t="n"/>
    </row>
    <row r="156">
      <c r="B156" s="4" t="n"/>
      <c r="C156" s="4" t="n"/>
      <c r="D156" s="4" t="n"/>
      <c r="E156" s="4" t="n"/>
      <c r="F156" s="5">
        <f>IF(E156="","",VLOOKUP(E156,Produits!$A:$J,2,FALSE))</f>
        <v/>
      </c>
      <c r="G156" s="5">
        <f>IF(E156="","",VLOOKUP(E156,Produits!$A:$J,3,FALSE))</f>
        <v/>
      </c>
      <c r="H156" s="4" t="n"/>
      <c r="I156" s="4" t="n"/>
      <c r="J156" s="4" t="n"/>
      <c r="K156" s="5">
        <f>IF(B156=FALSE,"",IF(D156="ACHAT",IF(AND(H156&lt;&gt;"",I156&lt;&gt;""),H156*I156,J156),IF(OR(D156="VENTE",D156="PERTE"),-ABS(J156),IF(D156="AJUSTEMENT",J156,""))))</f>
        <v/>
      </c>
      <c r="L156" s="4" t="n"/>
      <c r="M156" s="5">
        <f>IF(OR(L156="",I156=""),"",L156/I156)</f>
        <v/>
      </c>
      <c r="N156" s="5">
        <f>IF(D156&lt;&gt;"ACHAT","",K156*M156)</f>
        <v/>
      </c>
      <c r="O156" s="4" t="n"/>
      <c r="P156" s="5">
        <f>IF(D156&lt;&gt;"VENTE","",ABS(K156)*O156)</f>
        <v/>
      </c>
      <c r="Q156" s="4" t="n"/>
    </row>
    <row r="157">
      <c r="B157" s="4" t="n"/>
      <c r="C157" s="4" t="n"/>
      <c r="D157" s="4" t="n"/>
      <c r="E157" s="4" t="n"/>
      <c r="F157" s="5">
        <f>IF(E157="","",VLOOKUP(E157,Produits!$A:$J,2,FALSE))</f>
        <v/>
      </c>
      <c r="G157" s="5">
        <f>IF(E157="","",VLOOKUP(E157,Produits!$A:$J,3,FALSE))</f>
        <v/>
      </c>
      <c r="H157" s="4" t="n"/>
      <c r="I157" s="4" t="n"/>
      <c r="J157" s="4" t="n"/>
      <c r="K157" s="5">
        <f>IF(B157=FALSE,"",IF(D157="ACHAT",IF(AND(H157&lt;&gt;"",I157&lt;&gt;""),H157*I157,J157),IF(OR(D157="VENTE",D157="PERTE"),-ABS(J157),IF(D157="AJUSTEMENT",J157,""))))</f>
        <v/>
      </c>
      <c r="L157" s="4" t="n"/>
      <c r="M157" s="5">
        <f>IF(OR(L157="",I157=""),"",L157/I157)</f>
        <v/>
      </c>
      <c r="N157" s="5">
        <f>IF(D157&lt;&gt;"ACHAT","",K157*M157)</f>
        <v/>
      </c>
      <c r="O157" s="4" t="n"/>
      <c r="P157" s="5">
        <f>IF(D157&lt;&gt;"VENTE","",ABS(K157)*O157)</f>
        <v/>
      </c>
      <c r="Q157" s="4" t="n"/>
    </row>
    <row r="158">
      <c r="B158" s="4" t="n"/>
      <c r="C158" s="4" t="n"/>
      <c r="D158" s="4" t="n"/>
      <c r="E158" s="4" t="n"/>
      <c r="F158" s="5">
        <f>IF(E158="","",VLOOKUP(E158,Produits!$A:$J,2,FALSE))</f>
        <v/>
      </c>
      <c r="G158" s="5">
        <f>IF(E158="","",VLOOKUP(E158,Produits!$A:$J,3,FALSE))</f>
        <v/>
      </c>
      <c r="H158" s="4" t="n"/>
      <c r="I158" s="4" t="n"/>
      <c r="J158" s="4" t="n"/>
      <c r="K158" s="5">
        <f>IF(B158=FALSE,"",IF(D158="ACHAT",IF(AND(H158&lt;&gt;"",I158&lt;&gt;""),H158*I158,J158),IF(OR(D158="VENTE",D158="PERTE"),-ABS(J158),IF(D158="AJUSTEMENT",J158,""))))</f>
        <v/>
      </c>
      <c r="L158" s="4" t="n"/>
      <c r="M158" s="5">
        <f>IF(OR(L158="",I158=""),"",L158/I158)</f>
        <v/>
      </c>
      <c r="N158" s="5">
        <f>IF(D158&lt;&gt;"ACHAT","",K158*M158)</f>
        <v/>
      </c>
      <c r="O158" s="4" t="n"/>
      <c r="P158" s="5">
        <f>IF(D158&lt;&gt;"VENTE","",ABS(K158)*O158)</f>
        <v/>
      </c>
      <c r="Q158" s="4" t="n"/>
    </row>
    <row r="159">
      <c r="B159" s="4" t="n"/>
      <c r="C159" s="4" t="n"/>
      <c r="D159" s="4" t="n"/>
      <c r="E159" s="4" t="n"/>
      <c r="F159" s="5">
        <f>IF(E159="","",VLOOKUP(E159,Produits!$A:$J,2,FALSE))</f>
        <v/>
      </c>
      <c r="G159" s="5">
        <f>IF(E159="","",VLOOKUP(E159,Produits!$A:$J,3,FALSE))</f>
        <v/>
      </c>
      <c r="H159" s="4" t="n"/>
      <c r="I159" s="4" t="n"/>
      <c r="J159" s="4" t="n"/>
      <c r="K159" s="5">
        <f>IF(B159=FALSE,"",IF(D159="ACHAT",IF(AND(H159&lt;&gt;"",I159&lt;&gt;""),H159*I159,J159),IF(OR(D159="VENTE",D159="PERTE"),-ABS(J159),IF(D159="AJUSTEMENT",J159,""))))</f>
        <v/>
      </c>
      <c r="L159" s="4" t="n"/>
      <c r="M159" s="5">
        <f>IF(OR(L159="",I159=""),"",L159/I159)</f>
        <v/>
      </c>
      <c r="N159" s="5">
        <f>IF(D159&lt;&gt;"ACHAT","",K159*M159)</f>
        <v/>
      </c>
      <c r="O159" s="4" t="n"/>
      <c r="P159" s="5">
        <f>IF(D159&lt;&gt;"VENTE","",ABS(K159)*O159)</f>
        <v/>
      </c>
      <c r="Q159" s="4" t="n"/>
    </row>
    <row r="160">
      <c r="B160" s="4" t="n"/>
      <c r="C160" s="4" t="n"/>
      <c r="D160" s="4" t="n"/>
      <c r="E160" s="4" t="n"/>
      <c r="F160" s="5">
        <f>IF(E160="","",VLOOKUP(E160,Produits!$A:$J,2,FALSE))</f>
        <v/>
      </c>
      <c r="G160" s="5">
        <f>IF(E160="","",VLOOKUP(E160,Produits!$A:$J,3,FALSE))</f>
        <v/>
      </c>
      <c r="H160" s="4" t="n"/>
      <c r="I160" s="4" t="n"/>
      <c r="J160" s="4" t="n"/>
      <c r="K160" s="5">
        <f>IF(B160=FALSE,"",IF(D160="ACHAT",IF(AND(H160&lt;&gt;"",I160&lt;&gt;""),H160*I160,J160),IF(OR(D160="VENTE",D160="PERTE"),-ABS(J160),IF(D160="AJUSTEMENT",J160,""))))</f>
        <v/>
      </c>
      <c r="L160" s="4" t="n"/>
      <c r="M160" s="5">
        <f>IF(OR(L160="",I160=""),"",L160/I160)</f>
        <v/>
      </c>
      <c r="N160" s="5">
        <f>IF(D160&lt;&gt;"ACHAT","",K160*M160)</f>
        <v/>
      </c>
      <c r="O160" s="4" t="n"/>
      <c r="P160" s="5">
        <f>IF(D160&lt;&gt;"VENTE","",ABS(K160)*O160)</f>
        <v/>
      </c>
      <c r="Q160" s="4" t="n"/>
    </row>
    <row r="161">
      <c r="B161" s="4" t="n"/>
      <c r="C161" s="4" t="n"/>
      <c r="D161" s="4" t="n"/>
      <c r="E161" s="4" t="n"/>
      <c r="F161" s="5">
        <f>IF(E161="","",VLOOKUP(E161,Produits!$A:$J,2,FALSE))</f>
        <v/>
      </c>
      <c r="G161" s="5">
        <f>IF(E161="","",VLOOKUP(E161,Produits!$A:$J,3,FALSE))</f>
        <v/>
      </c>
      <c r="H161" s="4" t="n"/>
      <c r="I161" s="4" t="n"/>
      <c r="J161" s="4" t="n"/>
      <c r="K161" s="5">
        <f>IF(B161=FALSE,"",IF(D161="ACHAT",IF(AND(H161&lt;&gt;"",I161&lt;&gt;""),H161*I161,J161),IF(OR(D161="VENTE",D161="PERTE"),-ABS(J161),IF(D161="AJUSTEMENT",J161,""))))</f>
        <v/>
      </c>
      <c r="L161" s="4" t="n"/>
      <c r="M161" s="5">
        <f>IF(OR(L161="",I161=""),"",L161/I161)</f>
        <v/>
      </c>
      <c r="N161" s="5">
        <f>IF(D161&lt;&gt;"ACHAT","",K161*M161)</f>
        <v/>
      </c>
      <c r="O161" s="4" t="n"/>
      <c r="P161" s="5">
        <f>IF(D161&lt;&gt;"VENTE","",ABS(K161)*O161)</f>
        <v/>
      </c>
      <c r="Q161" s="4" t="n"/>
    </row>
    <row r="162">
      <c r="B162" s="4" t="n"/>
      <c r="C162" s="4" t="n"/>
      <c r="D162" s="4" t="n"/>
      <c r="E162" s="4" t="n"/>
      <c r="F162" s="5">
        <f>IF(E162="","",VLOOKUP(E162,Produits!$A:$J,2,FALSE))</f>
        <v/>
      </c>
      <c r="G162" s="5">
        <f>IF(E162="","",VLOOKUP(E162,Produits!$A:$J,3,FALSE))</f>
        <v/>
      </c>
      <c r="H162" s="4" t="n"/>
      <c r="I162" s="4" t="n"/>
      <c r="J162" s="4" t="n"/>
      <c r="K162" s="5">
        <f>IF(B162=FALSE,"",IF(D162="ACHAT",IF(AND(H162&lt;&gt;"",I162&lt;&gt;""),H162*I162,J162),IF(OR(D162="VENTE",D162="PERTE"),-ABS(J162),IF(D162="AJUSTEMENT",J162,""))))</f>
        <v/>
      </c>
      <c r="L162" s="4" t="n"/>
      <c r="M162" s="5">
        <f>IF(OR(L162="",I162=""),"",L162/I162)</f>
        <v/>
      </c>
      <c r="N162" s="5">
        <f>IF(D162&lt;&gt;"ACHAT","",K162*M162)</f>
        <v/>
      </c>
      <c r="O162" s="4" t="n"/>
      <c r="P162" s="5">
        <f>IF(D162&lt;&gt;"VENTE","",ABS(K162)*O162)</f>
        <v/>
      </c>
      <c r="Q162" s="4" t="n"/>
    </row>
    <row r="163">
      <c r="B163" s="4" t="n"/>
      <c r="C163" s="4" t="n"/>
      <c r="D163" s="4" t="n"/>
      <c r="E163" s="4" t="n"/>
      <c r="F163" s="5">
        <f>IF(E163="","",VLOOKUP(E163,Produits!$A:$J,2,FALSE))</f>
        <v/>
      </c>
      <c r="G163" s="5">
        <f>IF(E163="","",VLOOKUP(E163,Produits!$A:$J,3,FALSE))</f>
        <v/>
      </c>
      <c r="H163" s="4" t="n"/>
      <c r="I163" s="4" t="n"/>
      <c r="J163" s="4" t="n"/>
      <c r="K163" s="5">
        <f>IF(B163=FALSE,"",IF(D163="ACHAT",IF(AND(H163&lt;&gt;"",I163&lt;&gt;""),H163*I163,J163),IF(OR(D163="VENTE",D163="PERTE"),-ABS(J163),IF(D163="AJUSTEMENT",J163,""))))</f>
        <v/>
      </c>
      <c r="L163" s="4" t="n"/>
      <c r="M163" s="5">
        <f>IF(OR(L163="",I163=""),"",L163/I163)</f>
        <v/>
      </c>
      <c r="N163" s="5">
        <f>IF(D163&lt;&gt;"ACHAT","",K163*M163)</f>
        <v/>
      </c>
      <c r="O163" s="4" t="n"/>
      <c r="P163" s="5">
        <f>IF(D163&lt;&gt;"VENTE","",ABS(K163)*O163)</f>
        <v/>
      </c>
      <c r="Q163" s="4" t="n"/>
    </row>
    <row r="164">
      <c r="B164" s="4" t="n"/>
      <c r="C164" s="4" t="n"/>
      <c r="D164" s="4" t="n"/>
      <c r="E164" s="4" t="n"/>
      <c r="F164" s="5">
        <f>IF(E164="","",VLOOKUP(E164,Produits!$A:$J,2,FALSE))</f>
        <v/>
      </c>
      <c r="G164" s="5">
        <f>IF(E164="","",VLOOKUP(E164,Produits!$A:$J,3,FALSE))</f>
        <v/>
      </c>
      <c r="H164" s="4" t="n"/>
      <c r="I164" s="4" t="n"/>
      <c r="J164" s="4" t="n"/>
      <c r="K164" s="5">
        <f>IF(B164=FALSE,"",IF(D164="ACHAT",IF(AND(H164&lt;&gt;"",I164&lt;&gt;""),H164*I164,J164),IF(OR(D164="VENTE",D164="PERTE"),-ABS(J164),IF(D164="AJUSTEMENT",J164,""))))</f>
        <v/>
      </c>
      <c r="L164" s="4" t="n"/>
      <c r="M164" s="5">
        <f>IF(OR(L164="",I164=""),"",L164/I164)</f>
        <v/>
      </c>
      <c r="N164" s="5">
        <f>IF(D164&lt;&gt;"ACHAT","",K164*M164)</f>
        <v/>
      </c>
      <c r="O164" s="4" t="n"/>
      <c r="P164" s="5">
        <f>IF(D164&lt;&gt;"VENTE","",ABS(K164)*O164)</f>
        <v/>
      </c>
      <c r="Q164" s="4" t="n"/>
    </row>
    <row r="165">
      <c r="B165" s="4" t="n"/>
      <c r="C165" s="4" t="n"/>
      <c r="D165" s="4" t="n"/>
      <c r="E165" s="4" t="n"/>
      <c r="F165" s="5">
        <f>IF(E165="","",VLOOKUP(E165,Produits!$A:$J,2,FALSE))</f>
        <v/>
      </c>
      <c r="G165" s="5">
        <f>IF(E165="","",VLOOKUP(E165,Produits!$A:$J,3,FALSE))</f>
        <v/>
      </c>
      <c r="H165" s="4" t="n"/>
      <c r="I165" s="4" t="n"/>
      <c r="J165" s="4" t="n"/>
      <c r="K165" s="5">
        <f>IF(B165=FALSE,"",IF(D165="ACHAT",IF(AND(H165&lt;&gt;"",I165&lt;&gt;""),H165*I165,J165),IF(OR(D165="VENTE",D165="PERTE"),-ABS(J165),IF(D165="AJUSTEMENT",J165,""))))</f>
        <v/>
      </c>
      <c r="L165" s="4" t="n"/>
      <c r="M165" s="5">
        <f>IF(OR(L165="",I165=""),"",L165/I165)</f>
        <v/>
      </c>
      <c r="N165" s="5">
        <f>IF(D165&lt;&gt;"ACHAT","",K165*M165)</f>
        <v/>
      </c>
      <c r="O165" s="4" t="n"/>
      <c r="P165" s="5">
        <f>IF(D165&lt;&gt;"VENTE","",ABS(K165)*O165)</f>
        <v/>
      </c>
      <c r="Q165" s="4" t="n"/>
    </row>
    <row r="166">
      <c r="B166" s="4" t="n"/>
      <c r="C166" s="4" t="n"/>
      <c r="D166" s="4" t="n"/>
      <c r="E166" s="4" t="n"/>
      <c r="F166" s="5">
        <f>IF(E166="","",VLOOKUP(E166,Produits!$A:$J,2,FALSE))</f>
        <v/>
      </c>
      <c r="G166" s="5">
        <f>IF(E166="","",VLOOKUP(E166,Produits!$A:$J,3,FALSE))</f>
        <v/>
      </c>
      <c r="H166" s="4" t="n"/>
      <c r="I166" s="4" t="n"/>
      <c r="J166" s="4" t="n"/>
      <c r="K166" s="5">
        <f>IF(B166=FALSE,"",IF(D166="ACHAT",IF(AND(H166&lt;&gt;"",I166&lt;&gt;""),H166*I166,J166),IF(OR(D166="VENTE",D166="PERTE"),-ABS(J166),IF(D166="AJUSTEMENT",J166,""))))</f>
        <v/>
      </c>
      <c r="L166" s="4" t="n"/>
      <c r="M166" s="5">
        <f>IF(OR(L166="",I166=""),"",L166/I166)</f>
        <v/>
      </c>
      <c r="N166" s="5">
        <f>IF(D166&lt;&gt;"ACHAT","",K166*M166)</f>
        <v/>
      </c>
      <c r="O166" s="4" t="n"/>
      <c r="P166" s="5">
        <f>IF(D166&lt;&gt;"VENTE","",ABS(K166)*O166)</f>
        <v/>
      </c>
      <c r="Q166" s="4" t="n"/>
    </row>
    <row r="167">
      <c r="B167" s="4" t="n"/>
      <c r="C167" s="4" t="n"/>
      <c r="D167" s="4" t="n"/>
      <c r="E167" s="4" t="n"/>
      <c r="F167" s="5">
        <f>IF(E167="","",VLOOKUP(E167,Produits!$A:$J,2,FALSE))</f>
        <v/>
      </c>
      <c r="G167" s="5">
        <f>IF(E167="","",VLOOKUP(E167,Produits!$A:$J,3,FALSE))</f>
        <v/>
      </c>
      <c r="H167" s="4" t="n"/>
      <c r="I167" s="4" t="n"/>
      <c r="J167" s="4" t="n"/>
      <c r="K167" s="5">
        <f>IF(B167=FALSE,"",IF(D167="ACHAT",IF(AND(H167&lt;&gt;"",I167&lt;&gt;""),H167*I167,J167),IF(OR(D167="VENTE",D167="PERTE"),-ABS(J167),IF(D167="AJUSTEMENT",J167,""))))</f>
        <v/>
      </c>
      <c r="L167" s="4" t="n"/>
      <c r="M167" s="5">
        <f>IF(OR(L167="",I167=""),"",L167/I167)</f>
        <v/>
      </c>
      <c r="N167" s="5">
        <f>IF(D167&lt;&gt;"ACHAT","",K167*M167)</f>
        <v/>
      </c>
      <c r="O167" s="4" t="n"/>
      <c r="P167" s="5">
        <f>IF(D167&lt;&gt;"VENTE","",ABS(K167)*O167)</f>
        <v/>
      </c>
      <c r="Q167" s="4" t="n"/>
    </row>
    <row r="168">
      <c r="B168" s="4" t="n"/>
      <c r="C168" s="4" t="n"/>
      <c r="D168" s="4" t="n"/>
      <c r="E168" s="4" t="n"/>
      <c r="F168" s="5">
        <f>IF(E168="","",VLOOKUP(E168,Produits!$A:$J,2,FALSE))</f>
        <v/>
      </c>
      <c r="G168" s="5">
        <f>IF(E168="","",VLOOKUP(E168,Produits!$A:$J,3,FALSE))</f>
        <v/>
      </c>
      <c r="H168" s="4" t="n"/>
      <c r="I168" s="4" t="n"/>
      <c r="J168" s="4" t="n"/>
      <c r="K168" s="5">
        <f>IF(B168=FALSE,"",IF(D168="ACHAT",IF(AND(H168&lt;&gt;"",I168&lt;&gt;""),H168*I168,J168),IF(OR(D168="VENTE",D168="PERTE"),-ABS(J168),IF(D168="AJUSTEMENT",J168,""))))</f>
        <v/>
      </c>
      <c r="L168" s="4" t="n"/>
      <c r="M168" s="5">
        <f>IF(OR(L168="",I168=""),"",L168/I168)</f>
        <v/>
      </c>
      <c r="N168" s="5">
        <f>IF(D168&lt;&gt;"ACHAT","",K168*M168)</f>
        <v/>
      </c>
      <c r="O168" s="4" t="n"/>
      <c r="P168" s="5">
        <f>IF(D168&lt;&gt;"VENTE","",ABS(K168)*O168)</f>
        <v/>
      </c>
      <c r="Q168" s="4" t="n"/>
    </row>
    <row r="169">
      <c r="B169" s="4" t="n"/>
      <c r="C169" s="4" t="n"/>
      <c r="D169" s="4" t="n"/>
      <c r="E169" s="4" t="n"/>
      <c r="F169" s="5">
        <f>IF(E169="","",VLOOKUP(E169,Produits!$A:$J,2,FALSE))</f>
        <v/>
      </c>
      <c r="G169" s="5">
        <f>IF(E169="","",VLOOKUP(E169,Produits!$A:$J,3,FALSE))</f>
        <v/>
      </c>
      <c r="H169" s="4" t="n"/>
      <c r="I169" s="4" t="n"/>
      <c r="J169" s="4" t="n"/>
      <c r="K169" s="5">
        <f>IF(B169=FALSE,"",IF(D169="ACHAT",IF(AND(H169&lt;&gt;"",I169&lt;&gt;""),H169*I169,J169),IF(OR(D169="VENTE",D169="PERTE"),-ABS(J169),IF(D169="AJUSTEMENT",J169,""))))</f>
        <v/>
      </c>
      <c r="L169" s="4" t="n"/>
      <c r="M169" s="5">
        <f>IF(OR(L169="",I169=""),"",L169/I169)</f>
        <v/>
      </c>
      <c r="N169" s="5">
        <f>IF(D169&lt;&gt;"ACHAT","",K169*M169)</f>
        <v/>
      </c>
      <c r="O169" s="4" t="n"/>
      <c r="P169" s="5">
        <f>IF(D169&lt;&gt;"VENTE","",ABS(K169)*O169)</f>
        <v/>
      </c>
      <c r="Q169" s="4" t="n"/>
    </row>
    <row r="170">
      <c r="B170" s="4" t="n"/>
      <c r="C170" s="4" t="n"/>
      <c r="D170" s="4" t="n"/>
      <c r="E170" s="4" t="n"/>
      <c r="F170" s="5">
        <f>IF(E170="","",VLOOKUP(E170,Produits!$A:$J,2,FALSE))</f>
        <v/>
      </c>
      <c r="G170" s="5">
        <f>IF(E170="","",VLOOKUP(E170,Produits!$A:$J,3,FALSE))</f>
        <v/>
      </c>
      <c r="H170" s="4" t="n"/>
      <c r="I170" s="4" t="n"/>
      <c r="J170" s="4" t="n"/>
      <c r="K170" s="5">
        <f>IF(B170=FALSE,"",IF(D170="ACHAT",IF(AND(H170&lt;&gt;"",I170&lt;&gt;""),H170*I170,J170),IF(OR(D170="VENTE",D170="PERTE"),-ABS(J170),IF(D170="AJUSTEMENT",J170,""))))</f>
        <v/>
      </c>
      <c r="L170" s="4" t="n"/>
      <c r="M170" s="5">
        <f>IF(OR(L170="",I170=""),"",L170/I170)</f>
        <v/>
      </c>
      <c r="N170" s="5">
        <f>IF(D170&lt;&gt;"ACHAT","",K170*M170)</f>
        <v/>
      </c>
      <c r="O170" s="4" t="n"/>
      <c r="P170" s="5">
        <f>IF(D170&lt;&gt;"VENTE","",ABS(K170)*O170)</f>
        <v/>
      </c>
      <c r="Q170" s="4" t="n"/>
    </row>
    <row r="171">
      <c r="B171" s="4" t="n"/>
      <c r="C171" s="4" t="n"/>
      <c r="D171" s="4" t="n"/>
      <c r="E171" s="4" t="n"/>
      <c r="F171" s="5">
        <f>IF(E171="","",VLOOKUP(E171,Produits!$A:$J,2,FALSE))</f>
        <v/>
      </c>
      <c r="G171" s="5">
        <f>IF(E171="","",VLOOKUP(E171,Produits!$A:$J,3,FALSE))</f>
        <v/>
      </c>
      <c r="H171" s="4" t="n"/>
      <c r="I171" s="4" t="n"/>
      <c r="J171" s="4" t="n"/>
      <c r="K171" s="5">
        <f>IF(B171=FALSE,"",IF(D171="ACHAT",IF(AND(H171&lt;&gt;"",I171&lt;&gt;""),H171*I171,J171),IF(OR(D171="VENTE",D171="PERTE"),-ABS(J171),IF(D171="AJUSTEMENT",J171,""))))</f>
        <v/>
      </c>
      <c r="L171" s="4" t="n"/>
      <c r="M171" s="5">
        <f>IF(OR(L171="",I171=""),"",L171/I171)</f>
        <v/>
      </c>
      <c r="N171" s="5">
        <f>IF(D171&lt;&gt;"ACHAT","",K171*M171)</f>
        <v/>
      </c>
      <c r="O171" s="4" t="n"/>
      <c r="P171" s="5">
        <f>IF(D171&lt;&gt;"VENTE","",ABS(K171)*O171)</f>
        <v/>
      </c>
      <c r="Q171" s="4" t="n"/>
    </row>
    <row r="172">
      <c r="B172" s="4" t="n"/>
      <c r="C172" s="4" t="n"/>
      <c r="D172" s="4" t="n"/>
      <c r="E172" s="4" t="n"/>
      <c r="F172" s="5">
        <f>IF(E172="","",VLOOKUP(E172,Produits!$A:$J,2,FALSE))</f>
        <v/>
      </c>
      <c r="G172" s="5">
        <f>IF(E172="","",VLOOKUP(E172,Produits!$A:$J,3,FALSE))</f>
        <v/>
      </c>
      <c r="H172" s="4" t="n"/>
      <c r="I172" s="4" t="n"/>
      <c r="J172" s="4" t="n"/>
      <c r="K172" s="5">
        <f>IF(B172=FALSE,"",IF(D172="ACHAT",IF(AND(H172&lt;&gt;"",I172&lt;&gt;""),H172*I172,J172),IF(OR(D172="VENTE",D172="PERTE"),-ABS(J172),IF(D172="AJUSTEMENT",J172,""))))</f>
        <v/>
      </c>
      <c r="L172" s="4" t="n"/>
      <c r="M172" s="5">
        <f>IF(OR(L172="",I172=""),"",L172/I172)</f>
        <v/>
      </c>
      <c r="N172" s="5">
        <f>IF(D172&lt;&gt;"ACHAT","",K172*M172)</f>
        <v/>
      </c>
      <c r="O172" s="4" t="n"/>
      <c r="P172" s="5">
        <f>IF(D172&lt;&gt;"VENTE","",ABS(K172)*O172)</f>
        <v/>
      </c>
      <c r="Q172" s="4" t="n"/>
    </row>
    <row r="173">
      <c r="B173" s="4" t="n"/>
      <c r="C173" s="4" t="n"/>
      <c r="D173" s="4" t="n"/>
      <c r="E173" s="4" t="n"/>
      <c r="F173" s="5">
        <f>IF(E173="","",VLOOKUP(E173,Produits!$A:$J,2,FALSE))</f>
        <v/>
      </c>
      <c r="G173" s="5">
        <f>IF(E173="","",VLOOKUP(E173,Produits!$A:$J,3,FALSE))</f>
        <v/>
      </c>
      <c r="H173" s="4" t="n"/>
      <c r="I173" s="4" t="n"/>
      <c r="J173" s="4" t="n"/>
      <c r="K173" s="5">
        <f>IF(B173=FALSE,"",IF(D173="ACHAT",IF(AND(H173&lt;&gt;"",I173&lt;&gt;""),H173*I173,J173),IF(OR(D173="VENTE",D173="PERTE"),-ABS(J173),IF(D173="AJUSTEMENT",J173,""))))</f>
        <v/>
      </c>
      <c r="L173" s="4" t="n"/>
      <c r="M173" s="5">
        <f>IF(OR(L173="",I173=""),"",L173/I173)</f>
        <v/>
      </c>
      <c r="N173" s="5">
        <f>IF(D173&lt;&gt;"ACHAT","",K173*M173)</f>
        <v/>
      </c>
      <c r="O173" s="4" t="n"/>
      <c r="P173" s="5">
        <f>IF(D173&lt;&gt;"VENTE","",ABS(K173)*O173)</f>
        <v/>
      </c>
      <c r="Q173" s="4" t="n"/>
    </row>
    <row r="174">
      <c r="B174" s="4" t="n"/>
      <c r="C174" s="4" t="n"/>
      <c r="D174" s="4" t="n"/>
      <c r="E174" s="4" t="n"/>
      <c r="F174" s="5">
        <f>IF(E174="","",VLOOKUP(E174,Produits!$A:$J,2,FALSE))</f>
        <v/>
      </c>
      <c r="G174" s="5">
        <f>IF(E174="","",VLOOKUP(E174,Produits!$A:$J,3,FALSE))</f>
        <v/>
      </c>
      <c r="H174" s="4" t="n"/>
      <c r="I174" s="4" t="n"/>
      <c r="J174" s="4" t="n"/>
      <c r="K174" s="5">
        <f>IF(B174=FALSE,"",IF(D174="ACHAT",IF(AND(H174&lt;&gt;"",I174&lt;&gt;""),H174*I174,J174),IF(OR(D174="VENTE",D174="PERTE"),-ABS(J174),IF(D174="AJUSTEMENT",J174,""))))</f>
        <v/>
      </c>
      <c r="L174" s="4" t="n"/>
      <c r="M174" s="5">
        <f>IF(OR(L174="",I174=""),"",L174/I174)</f>
        <v/>
      </c>
      <c r="N174" s="5">
        <f>IF(D174&lt;&gt;"ACHAT","",K174*M174)</f>
        <v/>
      </c>
      <c r="O174" s="4" t="n"/>
      <c r="P174" s="5">
        <f>IF(D174&lt;&gt;"VENTE","",ABS(K174)*O174)</f>
        <v/>
      </c>
      <c r="Q174" s="4" t="n"/>
    </row>
    <row r="175">
      <c r="B175" s="4" t="n"/>
      <c r="C175" s="4" t="n"/>
      <c r="D175" s="4" t="n"/>
      <c r="E175" s="4" t="n"/>
      <c r="F175" s="5">
        <f>IF(E175="","",VLOOKUP(E175,Produits!$A:$J,2,FALSE))</f>
        <v/>
      </c>
      <c r="G175" s="5">
        <f>IF(E175="","",VLOOKUP(E175,Produits!$A:$J,3,FALSE))</f>
        <v/>
      </c>
      <c r="H175" s="4" t="n"/>
      <c r="I175" s="4" t="n"/>
      <c r="J175" s="4" t="n"/>
      <c r="K175" s="5">
        <f>IF(B175=FALSE,"",IF(D175="ACHAT",IF(AND(H175&lt;&gt;"",I175&lt;&gt;""),H175*I175,J175),IF(OR(D175="VENTE",D175="PERTE"),-ABS(J175),IF(D175="AJUSTEMENT",J175,""))))</f>
        <v/>
      </c>
      <c r="L175" s="4" t="n"/>
      <c r="M175" s="5">
        <f>IF(OR(L175="",I175=""),"",L175/I175)</f>
        <v/>
      </c>
      <c r="N175" s="5">
        <f>IF(D175&lt;&gt;"ACHAT","",K175*M175)</f>
        <v/>
      </c>
      <c r="O175" s="4" t="n"/>
      <c r="P175" s="5">
        <f>IF(D175&lt;&gt;"VENTE","",ABS(K175)*O175)</f>
        <v/>
      </c>
      <c r="Q175" s="4" t="n"/>
    </row>
    <row r="176">
      <c r="B176" s="4" t="n"/>
      <c r="C176" s="4" t="n"/>
      <c r="D176" s="4" t="n"/>
      <c r="E176" s="4" t="n"/>
      <c r="F176" s="5">
        <f>IF(E176="","",VLOOKUP(E176,Produits!$A:$J,2,FALSE))</f>
        <v/>
      </c>
      <c r="G176" s="5">
        <f>IF(E176="","",VLOOKUP(E176,Produits!$A:$J,3,FALSE))</f>
        <v/>
      </c>
      <c r="H176" s="4" t="n"/>
      <c r="I176" s="4" t="n"/>
      <c r="J176" s="4" t="n"/>
      <c r="K176" s="5">
        <f>IF(B176=FALSE,"",IF(D176="ACHAT",IF(AND(H176&lt;&gt;"",I176&lt;&gt;""),H176*I176,J176),IF(OR(D176="VENTE",D176="PERTE"),-ABS(J176),IF(D176="AJUSTEMENT",J176,""))))</f>
        <v/>
      </c>
      <c r="L176" s="4" t="n"/>
      <c r="M176" s="5">
        <f>IF(OR(L176="",I176=""),"",L176/I176)</f>
        <v/>
      </c>
      <c r="N176" s="5">
        <f>IF(D176&lt;&gt;"ACHAT","",K176*M176)</f>
        <v/>
      </c>
      <c r="O176" s="4" t="n"/>
      <c r="P176" s="5">
        <f>IF(D176&lt;&gt;"VENTE","",ABS(K176)*O176)</f>
        <v/>
      </c>
      <c r="Q176" s="4" t="n"/>
    </row>
    <row r="177">
      <c r="B177" s="4" t="n"/>
      <c r="C177" s="4" t="n"/>
      <c r="D177" s="4" t="n"/>
      <c r="E177" s="4" t="n"/>
      <c r="F177" s="5">
        <f>IF(E177="","",VLOOKUP(E177,Produits!$A:$J,2,FALSE))</f>
        <v/>
      </c>
      <c r="G177" s="5">
        <f>IF(E177="","",VLOOKUP(E177,Produits!$A:$J,3,FALSE))</f>
        <v/>
      </c>
      <c r="H177" s="4" t="n"/>
      <c r="I177" s="4" t="n"/>
      <c r="J177" s="4" t="n"/>
      <c r="K177" s="5">
        <f>IF(B177=FALSE,"",IF(D177="ACHAT",IF(AND(H177&lt;&gt;"",I177&lt;&gt;""),H177*I177,J177),IF(OR(D177="VENTE",D177="PERTE"),-ABS(J177),IF(D177="AJUSTEMENT",J177,""))))</f>
        <v/>
      </c>
      <c r="L177" s="4" t="n"/>
      <c r="M177" s="5">
        <f>IF(OR(L177="",I177=""),"",L177/I177)</f>
        <v/>
      </c>
      <c r="N177" s="5">
        <f>IF(D177&lt;&gt;"ACHAT","",K177*M177)</f>
        <v/>
      </c>
      <c r="O177" s="4" t="n"/>
      <c r="P177" s="5">
        <f>IF(D177&lt;&gt;"VENTE","",ABS(K177)*O177)</f>
        <v/>
      </c>
      <c r="Q177" s="4" t="n"/>
    </row>
    <row r="178">
      <c r="B178" s="4" t="n"/>
      <c r="C178" s="4" t="n"/>
      <c r="D178" s="4" t="n"/>
      <c r="E178" s="4" t="n"/>
      <c r="F178" s="5">
        <f>IF(E178="","",VLOOKUP(E178,Produits!$A:$J,2,FALSE))</f>
        <v/>
      </c>
      <c r="G178" s="5">
        <f>IF(E178="","",VLOOKUP(E178,Produits!$A:$J,3,FALSE))</f>
        <v/>
      </c>
      <c r="H178" s="4" t="n"/>
      <c r="I178" s="4" t="n"/>
      <c r="J178" s="4" t="n"/>
      <c r="K178" s="5">
        <f>IF(B178=FALSE,"",IF(D178="ACHAT",IF(AND(H178&lt;&gt;"",I178&lt;&gt;""),H178*I178,J178),IF(OR(D178="VENTE",D178="PERTE"),-ABS(J178),IF(D178="AJUSTEMENT",J178,""))))</f>
        <v/>
      </c>
      <c r="L178" s="4" t="n"/>
      <c r="M178" s="5">
        <f>IF(OR(L178="",I178=""),"",L178/I178)</f>
        <v/>
      </c>
      <c r="N178" s="5">
        <f>IF(D178&lt;&gt;"ACHAT","",K178*M178)</f>
        <v/>
      </c>
      <c r="O178" s="4" t="n"/>
      <c r="P178" s="5">
        <f>IF(D178&lt;&gt;"VENTE","",ABS(K178)*O178)</f>
        <v/>
      </c>
      <c r="Q178" s="4" t="n"/>
    </row>
    <row r="179">
      <c r="B179" s="4" t="n"/>
      <c r="C179" s="4" t="n"/>
      <c r="D179" s="4" t="n"/>
      <c r="E179" s="4" t="n"/>
      <c r="F179" s="5">
        <f>IF(E179="","",VLOOKUP(E179,Produits!$A:$J,2,FALSE))</f>
        <v/>
      </c>
      <c r="G179" s="5">
        <f>IF(E179="","",VLOOKUP(E179,Produits!$A:$J,3,FALSE))</f>
        <v/>
      </c>
      <c r="H179" s="4" t="n"/>
      <c r="I179" s="4" t="n"/>
      <c r="J179" s="4" t="n"/>
      <c r="K179" s="5">
        <f>IF(B179=FALSE,"",IF(D179="ACHAT",IF(AND(H179&lt;&gt;"",I179&lt;&gt;""),H179*I179,J179),IF(OR(D179="VENTE",D179="PERTE"),-ABS(J179),IF(D179="AJUSTEMENT",J179,""))))</f>
        <v/>
      </c>
      <c r="L179" s="4" t="n"/>
      <c r="M179" s="5">
        <f>IF(OR(L179="",I179=""),"",L179/I179)</f>
        <v/>
      </c>
      <c r="N179" s="5">
        <f>IF(D179&lt;&gt;"ACHAT","",K179*M179)</f>
        <v/>
      </c>
      <c r="O179" s="4" t="n"/>
      <c r="P179" s="5">
        <f>IF(D179&lt;&gt;"VENTE","",ABS(K179)*O179)</f>
        <v/>
      </c>
      <c r="Q179" s="4" t="n"/>
    </row>
    <row r="180">
      <c r="B180" s="4" t="n"/>
      <c r="C180" s="4" t="n"/>
      <c r="D180" s="4" t="n"/>
      <c r="E180" s="4" t="n"/>
      <c r="F180" s="5">
        <f>IF(E180="","",VLOOKUP(E180,Produits!$A:$J,2,FALSE))</f>
        <v/>
      </c>
      <c r="G180" s="5">
        <f>IF(E180="","",VLOOKUP(E180,Produits!$A:$J,3,FALSE))</f>
        <v/>
      </c>
      <c r="H180" s="4" t="n"/>
      <c r="I180" s="4" t="n"/>
      <c r="J180" s="4" t="n"/>
      <c r="K180" s="5">
        <f>IF(B180=FALSE,"",IF(D180="ACHAT",IF(AND(H180&lt;&gt;"",I180&lt;&gt;""),H180*I180,J180),IF(OR(D180="VENTE",D180="PERTE"),-ABS(J180),IF(D180="AJUSTEMENT",J180,""))))</f>
        <v/>
      </c>
      <c r="L180" s="4" t="n"/>
      <c r="M180" s="5">
        <f>IF(OR(L180="",I180=""),"",L180/I180)</f>
        <v/>
      </c>
      <c r="N180" s="5">
        <f>IF(D180&lt;&gt;"ACHAT","",K180*M180)</f>
        <v/>
      </c>
      <c r="O180" s="4" t="n"/>
      <c r="P180" s="5">
        <f>IF(D180&lt;&gt;"VENTE","",ABS(K180)*O180)</f>
        <v/>
      </c>
      <c r="Q180" s="4" t="n"/>
    </row>
    <row r="181">
      <c r="B181" s="4" t="n"/>
      <c r="C181" s="4" t="n"/>
      <c r="D181" s="4" t="n"/>
      <c r="E181" s="4" t="n"/>
      <c r="F181" s="5">
        <f>IF(E181="","",VLOOKUP(E181,Produits!$A:$J,2,FALSE))</f>
        <v/>
      </c>
      <c r="G181" s="5">
        <f>IF(E181="","",VLOOKUP(E181,Produits!$A:$J,3,FALSE))</f>
        <v/>
      </c>
      <c r="H181" s="4" t="n"/>
      <c r="I181" s="4" t="n"/>
      <c r="J181" s="4" t="n"/>
      <c r="K181" s="5">
        <f>IF(B181=FALSE,"",IF(D181="ACHAT",IF(AND(H181&lt;&gt;"",I181&lt;&gt;""),H181*I181,J181),IF(OR(D181="VENTE",D181="PERTE"),-ABS(J181),IF(D181="AJUSTEMENT",J181,""))))</f>
        <v/>
      </c>
      <c r="L181" s="4" t="n"/>
      <c r="M181" s="5">
        <f>IF(OR(L181="",I181=""),"",L181/I181)</f>
        <v/>
      </c>
      <c r="N181" s="5">
        <f>IF(D181&lt;&gt;"ACHAT","",K181*M181)</f>
        <v/>
      </c>
      <c r="O181" s="4" t="n"/>
      <c r="P181" s="5">
        <f>IF(D181&lt;&gt;"VENTE","",ABS(K181)*O181)</f>
        <v/>
      </c>
      <c r="Q181" s="4" t="n"/>
    </row>
    <row r="182">
      <c r="B182" s="4" t="n"/>
      <c r="C182" s="4" t="n"/>
      <c r="D182" s="4" t="n"/>
      <c r="E182" s="4" t="n"/>
      <c r="F182" s="5">
        <f>IF(E182="","",VLOOKUP(E182,Produits!$A:$J,2,FALSE))</f>
        <v/>
      </c>
      <c r="G182" s="5">
        <f>IF(E182="","",VLOOKUP(E182,Produits!$A:$J,3,FALSE))</f>
        <v/>
      </c>
      <c r="H182" s="4" t="n"/>
      <c r="I182" s="4" t="n"/>
      <c r="J182" s="4" t="n"/>
      <c r="K182" s="5">
        <f>IF(B182=FALSE,"",IF(D182="ACHAT",IF(AND(H182&lt;&gt;"",I182&lt;&gt;""),H182*I182,J182),IF(OR(D182="VENTE",D182="PERTE"),-ABS(J182),IF(D182="AJUSTEMENT",J182,""))))</f>
        <v/>
      </c>
      <c r="L182" s="4" t="n"/>
      <c r="M182" s="5">
        <f>IF(OR(L182="",I182=""),"",L182/I182)</f>
        <v/>
      </c>
      <c r="N182" s="5">
        <f>IF(D182&lt;&gt;"ACHAT","",K182*M182)</f>
        <v/>
      </c>
      <c r="O182" s="4" t="n"/>
      <c r="P182" s="5">
        <f>IF(D182&lt;&gt;"VENTE","",ABS(K182)*O182)</f>
        <v/>
      </c>
      <c r="Q182" s="4" t="n"/>
    </row>
    <row r="183">
      <c r="B183" s="4" t="n"/>
      <c r="C183" s="4" t="n"/>
      <c r="D183" s="4" t="n"/>
      <c r="E183" s="4" t="n"/>
      <c r="F183" s="5">
        <f>IF(E183="","",VLOOKUP(E183,Produits!$A:$J,2,FALSE))</f>
        <v/>
      </c>
      <c r="G183" s="5">
        <f>IF(E183="","",VLOOKUP(E183,Produits!$A:$J,3,FALSE))</f>
        <v/>
      </c>
      <c r="H183" s="4" t="n"/>
      <c r="I183" s="4" t="n"/>
      <c r="J183" s="4" t="n"/>
      <c r="K183" s="5">
        <f>IF(B183=FALSE,"",IF(D183="ACHAT",IF(AND(H183&lt;&gt;"",I183&lt;&gt;""),H183*I183,J183),IF(OR(D183="VENTE",D183="PERTE"),-ABS(J183),IF(D183="AJUSTEMENT",J183,""))))</f>
        <v/>
      </c>
      <c r="L183" s="4" t="n"/>
      <c r="M183" s="5">
        <f>IF(OR(L183="",I183=""),"",L183/I183)</f>
        <v/>
      </c>
      <c r="N183" s="5">
        <f>IF(D183&lt;&gt;"ACHAT","",K183*M183)</f>
        <v/>
      </c>
      <c r="O183" s="4" t="n"/>
      <c r="P183" s="5">
        <f>IF(D183&lt;&gt;"VENTE","",ABS(K183)*O183)</f>
        <v/>
      </c>
      <c r="Q183" s="4" t="n"/>
    </row>
    <row r="184">
      <c r="B184" s="4" t="n"/>
      <c r="C184" s="4" t="n"/>
      <c r="D184" s="4" t="n"/>
      <c r="E184" s="4" t="n"/>
      <c r="F184" s="5">
        <f>IF(E184="","",VLOOKUP(E184,Produits!$A:$J,2,FALSE))</f>
        <v/>
      </c>
      <c r="G184" s="5">
        <f>IF(E184="","",VLOOKUP(E184,Produits!$A:$J,3,FALSE))</f>
        <v/>
      </c>
      <c r="H184" s="4" t="n"/>
      <c r="I184" s="4" t="n"/>
      <c r="J184" s="4" t="n"/>
      <c r="K184" s="5">
        <f>IF(B184=FALSE,"",IF(D184="ACHAT",IF(AND(H184&lt;&gt;"",I184&lt;&gt;""),H184*I184,J184),IF(OR(D184="VENTE",D184="PERTE"),-ABS(J184),IF(D184="AJUSTEMENT",J184,""))))</f>
        <v/>
      </c>
      <c r="L184" s="4" t="n"/>
      <c r="M184" s="5">
        <f>IF(OR(L184="",I184=""),"",L184/I184)</f>
        <v/>
      </c>
      <c r="N184" s="5">
        <f>IF(D184&lt;&gt;"ACHAT","",K184*M184)</f>
        <v/>
      </c>
      <c r="O184" s="4" t="n"/>
      <c r="P184" s="5">
        <f>IF(D184&lt;&gt;"VENTE","",ABS(K184)*O184)</f>
        <v/>
      </c>
      <c r="Q184" s="4" t="n"/>
    </row>
    <row r="185">
      <c r="B185" s="4" t="n"/>
      <c r="C185" s="4" t="n"/>
      <c r="D185" s="4" t="n"/>
      <c r="E185" s="4" t="n"/>
      <c r="F185" s="5">
        <f>IF(E185="","",VLOOKUP(E185,Produits!$A:$J,2,FALSE))</f>
        <v/>
      </c>
      <c r="G185" s="5">
        <f>IF(E185="","",VLOOKUP(E185,Produits!$A:$J,3,FALSE))</f>
        <v/>
      </c>
      <c r="H185" s="4" t="n"/>
      <c r="I185" s="4" t="n"/>
      <c r="J185" s="4" t="n"/>
      <c r="K185" s="5">
        <f>IF(B185=FALSE,"",IF(D185="ACHAT",IF(AND(H185&lt;&gt;"",I185&lt;&gt;""),H185*I185,J185),IF(OR(D185="VENTE",D185="PERTE"),-ABS(J185),IF(D185="AJUSTEMENT",J185,""))))</f>
        <v/>
      </c>
      <c r="L185" s="4" t="n"/>
      <c r="M185" s="5">
        <f>IF(OR(L185="",I185=""),"",L185/I185)</f>
        <v/>
      </c>
      <c r="N185" s="5">
        <f>IF(D185&lt;&gt;"ACHAT","",K185*M185)</f>
        <v/>
      </c>
      <c r="O185" s="4" t="n"/>
      <c r="P185" s="5">
        <f>IF(D185&lt;&gt;"VENTE","",ABS(K185)*O185)</f>
        <v/>
      </c>
      <c r="Q185" s="4" t="n"/>
    </row>
    <row r="186">
      <c r="B186" s="4" t="n"/>
      <c r="C186" s="4" t="n"/>
      <c r="D186" s="4" t="n"/>
      <c r="E186" s="4" t="n"/>
      <c r="F186" s="5">
        <f>IF(E186="","",VLOOKUP(E186,Produits!$A:$J,2,FALSE))</f>
        <v/>
      </c>
      <c r="G186" s="5">
        <f>IF(E186="","",VLOOKUP(E186,Produits!$A:$J,3,FALSE))</f>
        <v/>
      </c>
      <c r="H186" s="4" t="n"/>
      <c r="I186" s="4" t="n"/>
      <c r="J186" s="4" t="n"/>
      <c r="K186" s="5">
        <f>IF(B186=FALSE,"",IF(D186="ACHAT",IF(AND(H186&lt;&gt;"",I186&lt;&gt;""),H186*I186,J186),IF(OR(D186="VENTE",D186="PERTE"),-ABS(J186),IF(D186="AJUSTEMENT",J186,""))))</f>
        <v/>
      </c>
      <c r="L186" s="4" t="n"/>
      <c r="M186" s="5">
        <f>IF(OR(L186="",I186=""),"",L186/I186)</f>
        <v/>
      </c>
      <c r="N186" s="5">
        <f>IF(D186&lt;&gt;"ACHAT","",K186*M186)</f>
        <v/>
      </c>
      <c r="O186" s="4" t="n"/>
      <c r="P186" s="5">
        <f>IF(D186&lt;&gt;"VENTE","",ABS(K186)*O186)</f>
        <v/>
      </c>
      <c r="Q186" s="4" t="n"/>
    </row>
    <row r="187">
      <c r="B187" s="4" t="n"/>
      <c r="C187" s="4" t="n"/>
      <c r="D187" s="4" t="n"/>
      <c r="E187" s="4" t="n"/>
      <c r="F187" s="5">
        <f>IF(E187="","",VLOOKUP(E187,Produits!$A:$J,2,FALSE))</f>
        <v/>
      </c>
      <c r="G187" s="5">
        <f>IF(E187="","",VLOOKUP(E187,Produits!$A:$J,3,FALSE))</f>
        <v/>
      </c>
      <c r="H187" s="4" t="n"/>
      <c r="I187" s="4" t="n"/>
      <c r="J187" s="4" t="n"/>
      <c r="K187" s="5">
        <f>IF(B187=FALSE,"",IF(D187="ACHAT",IF(AND(H187&lt;&gt;"",I187&lt;&gt;""),H187*I187,J187),IF(OR(D187="VENTE",D187="PERTE"),-ABS(J187),IF(D187="AJUSTEMENT",J187,""))))</f>
        <v/>
      </c>
      <c r="L187" s="4" t="n"/>
      <c r="M187" s="5">
        <f>IF(OR(L187="",I187=""),"",L187/I187)</f>
        <v/>
      </c>
      <c r="N187" s="5">
        <f>IF(D187&lt;&gt;"ACHAT","",K187*M187)</f>
        <v/>
      </c>
      <c r="O187" s="4" t="n"/>
      <c r="P187" s="5">
        <f>IF(D187&lt;&gt;"VENTE","",ABS(K187)*O187)</f>
        <v/>
      </c>
      <c r="Q187" s="4" t="n"/>
    </row>
    <row r="188">
      <c r="B188" s="4" t="n"/>
      <c r="C188" s="4" t="n"/>
      <c r="D188" s="4" t="n"/>
      <c r="E188" s="4" t="n"/>
      <c r="F188" s="5">
        <f>IF(E188="","",VLOOKUP(E188,Produits!$A:$J,2,FALSE))</f>
        <v/>
      </c>
      <c r="G188" s="5">
        <f>IF(E188="","",VLOOKUP(E188,Produits!$A:$J,3,FALSE))</f>
        <v/>
      </c>
      <c r="H188" s="4" t="n"/>
      <c r="I188" s="4" t="n"/>
      <c r="J188" s="4" t="n"/>
      <c r="K188" s="5">
        <f>IF(B188=FALSE,"",IF(D188="ACHAT",IF(AND(H188&lt;&gt;"",I188&lt;&gt;""),H188*I188,J188),IF(OR(D188="VENTE",D188="PERTE"),-ABS(J188),IF(D188="AJUSTEMENT",J188,""))))</f>
        <v/>
      </c>
      <c r="L188" s="4" t="n"/>
      <c r="M188" s="5">
        <f>IF(OR(L188="",I188=""),"",L188/I188)</f>
        <v/>
      </c>
      <c r="N188" s="5">
        <f>IF(D188&lt;&gt;"ACHAT","",K188*M188)</f>
        <v/>
      </c>
      <c r="O188" s="4" t="n"/>
      <c r="P188" s="5">
        <f>IF(D188&lt;&gt;"VENTE","",ABS(K188)*O188)</f>
        <v/>
      </c>
      <c r="Q188" s="4" t="n"/>
    </row>
    <row r="189">
      <c r="B189" s="4" t="n"/>
      <c r="C189" s="4" t="n"/>
      <c r="D189" s="4" t="n"/>
      <c r="E189" s="4" t="n"/>
      <c r="F189" s="5">
        <f>IF(E189="","",VLOOKUP(E189,Produits!$A:$J,2,FALSE))</f>
        <v/>
      </c>
      <c r="G189" s="5">
        <f>IF(E189="","",VLOOKUP(E189,Produits!$A:$J,3,FALSE))</f>
        <v/>
      </c>
      <c r="H189" s="4" t="n"/>
      <c r="I189" s="4" t="n"/>
      <c r="J189" s="4" t="n"/>
      <c r="K189" s="5">
        <f>IF(B189=FALSE,"",IF(D189="ACHAT",IF(AND(H189&lt;&gt;"",I189&lt;&gt;""),H189*I189,J189),IF(OR(D189="VENTE",D189="PERTE"),-ABS(J189),IF(D189="AJUSTEMENT",J189,""))))</f>
        <v/>
      </c>
      <c r="L189" s="4" t="n"/>
      <c r="M189" s="5">
        <f>IF(OR(L189="",I189=""),"",L189/I189)</f>
        <v/>
      </c>
      <c r="N189" s="5">
        <f>IF(D189&lt;&gt;"ACHAT","",K189*M189)</f>
        <v/>
      </c>
      <c r="O189" s="4" t="n"/>
      <c r="P189" s="5">
        <f>IF(D189&lt;&gt;"VENTE","",ABS(K189)*O189)</f>
        <v/>
      </c>
      <c r="Q189" s="4" t="n"/>
    </row>
    <row r="190">
      <c r="B190" s="4" t="n"/>
      <c r="C190" s="4" t="n"/>
      <c r="D190" s="4" t="n"/>
      <c r="E190" s="4" t="n"/>
      <c r="F190" s="5">
        <f>IF(E190="","",VLOOKUP(E190,Produits!$A:$J,2,FALSE))</f>
        <v/>
      </c>
      <c r="G190" s="5">
        <f>IF(E190="","",VLOOKUP(E190,Produits!$A:$J,3,FALSE))</f>
        <v/>
      </c>
      <c r="H190" s="4" t="n"/>
      <c r="I190" s="4" t="n"/>
      <c r="J190" s="4" t="n"/>
      <c r="K190" s="5">
        <f>IF(B190=FALSE,"",IF(D190="ACHAT",IF(AND(H190&lt;&gt;"",I190&lt;&gt;""),H190*I190,J190),IF(OR(D190="VENTE",D190="PERTE"),-ABS(J190),IF(D190="AJUSTEMENT",J190,""))))</f>
        <v/>
      </c>
      <c r="L190" s="4" t="n"/>
      <c r="M190" s="5">
        <f>IF(OR(L190="",I190=""),"",L190/I190)</f>
        <v/>
      </c>
      <c r="N190" s="5">
        <f>IF(D190&lt;&gt;"ACHAT","",K190*M190)</f>
        <v/>
      </c>
      <c r="O190" s="4" t="n"/>
      <c r="P190" s="5">
        <f>IF(D190&lt;&gt;"VENTE","",ABS(K190)*O190)</f>
        <v/>
      </c>
      <c r="Q190" s="4" t="n"/>
    </row>
    <row r="191">
      <c r="B191" s="4" t="n"/>
      <c r="C191" s="4" t="n"/>
      <c r="D191" s="4" t="n"/>
      <c r="E191" s="4" t="n"/>
      <c r="F191" s="5">
        <f>IF(E191="","",VLOOKUP(E191,Produits!$A:$J,2,FALSE))</f>
        <v/>
      </c>
      <c r="G191" s="5">
        <f>IF(E191="","",VLOOKUP(E191,Produits!$A:$J,3,FALSE))</f>
        <v/>
      </c>
      <c r="H191" s="4" t="n"/>
      <c r="I191" s="4" t="n"/>
      <c r="J191" s="4" t="n"/>
      <c r="K191" s="5">
        <f>IF(B191=FALSE,"",IF(D191="ACHAT",IF(AND(H191&lt;&gt;"",I191&lt;&gt;""),H191*I191,J191),IF(OR(D191="VENTE",D191="PERTE"),-ABS(J191),IF(D191="AJUSTEMENT",J191,""))))</f>
        <v/>
      </c>
      <c r="L191" s="4" t="n"/>
      <c r="M191" s="5">
        <f>IF(OR(L191="",I191=""),"",L191/I191)</f>
        <v/>
      </c>
      <c r="N191" s="5">
        <f>IF(D191&lt;&gt;"ACHAT","",K191*M191)</f>
        <v/>
      </c>
      <c r="O191" s="4" t="n"/>
      <c r="P191" s="5">
        <f>IF(D191&lt;&gt;"VENTE","",ABS(K191)*O191)</f>
        <v/>
      </c>
      <c r="Q191" s="4" t="n"/>
    </row>
    <row r="192">
      <c r="B192" s="4" t="n"/>
      <c r="C192" s="4" t="n"/>
      <c r="D192" s="4" t="n"/>
      <c r="E192" s="4" t="n"/>
      <c r="F192" s="5">
        <f>IF(E192="","",VLOOKUP(E192,Produits!$A:$J,2,FALSE))</f>
        <v/>
      </c>
      <c r="G192" s="5">
        <f>IF(E192="","",VLOOKUP(E192,Produits!$A:$J,3,FALSE))</f>
        <v/>
      </c>
      <c r="H192" s="4" t="n"/>
      <c r="I192" s="4" t="n"/>
      <c r="J192" s="4" t="n"/>
      <c r="K192" s="5">
        <f>IF(B192=FALSE,"",IF(D192="ACHAT",IF(AND(H192&lt;&gt;"",I192&lt;&gt;""),H192*I192,J192),IF(OR(D192="VENTE",D192="PERTE"),-ABS(J192),IF(D192="AJUSTEMENT",J192,""))))</f>
        <v/>
      </c>
      <c r="L192" s="4" t="n"/>
      <c r="M192" s="5">
        <f>IF(OR(L192="",I192=""),"",L192/I192)</f>
        <v/>
      </c>
      <c r="N192" s="5">
        <f>IF(D192&lt;&gt;"ACHAT","",K192*M192)</f>
        <v/>
      </c>
      <c r="O192" s="4" t="n"/>
      <c r="P192" s="5">
        <f>IF(D192&lt;&gt;"VENTE","",ABS(K192)*O192)</f>
        <v/>
      </c>
      <c r="Q192" s="4" t="n"/>
    </row>
    <row r="193">
      <c r="B193" s="4" t="n"/>
      <c r="C193" s="4" t="n"/>
      <c r="D193" s="4" t="n"/>
      <c r="E193" s="4" t="n"/>
      <c r="F193" s="5">
        <f>IF(E193="","",VLOOKUP(E193,Produits!$A:$J,2,FALSE))</f>
        <v/>
      </c>
      <c r="G193" s="5">
        <f>IF(E193="","",VLOOKUP(E193,Produits!$A:$J,3,FALSE))</f>
        <v/>
      </c>
      <c r="H193" s="4" t="n"/>
      <c r="I193" s="4" t="n"/>
      <c r="J193" s="4" t="n"/>
      <c r="K193" s="5">
        <f>IF(B193=FALSE,"",IF(D193="ACHAT",IF(AND(H193&lt;&gt;"",I193&lt;&gt;""),H193*I193,J193),IF(OR(D193="VENTE",D193="PERTE"),-ABS(J193),IF(D193="AJUSTEMENT",J193,""))))</f>
        <v/>
      </c>
      <c r="L193" s="4" t="n"/>
      <c r="M193" s="5">
        <f>IF(OR(L193="",I193=""),"",L193/I193)</f>
        <v/>
      </c>
      <c r="N193" s="5">
        <f>IF(D193&lt;&gt;"ACHAT","",K193*M193)</f>
        <v/>
      </c>
      <c r="O193" s="4" t="n"/>
      <c r="P193" s="5">
        <f>IF(D193&lt;&gt;"VENTE","",ABS(K193)*O193)</f>
        <v/>
      </c>
      <c r="Q193" s="4" t="n"/>
    </row>
    <row r="194">
      <c r="B194" s="4" t="n"/>
      <c r="C194" s="4" t="n"/>
      <c r="D194" s="4" t="n"/>
      <c r="E194" s="4" t="n"/>
      <c r="F194" s="5">
        <f>IF(E194="","",VLOOKUP(E194,Produits!$A:$J,2,FALSE))</f>
        <v/>
      </c>
      <c r="G194" s="5">
        <f>IF(E194="","",VLOOKUP(E194,Produits!$A:$J,3,FALSE))</f>
        <v/>
      </c>
      <c r="H194" s="4" t="n"/>
      <c r="I194" s="4" t="n"/>
      <c r="J194" s="4" t="n"/>
      <c r="K194" s="5">
        <f>IF(B194=FALSE,"",IF(D194="ACHAT",IF(AND(H194&lt;&gt;"",I194&lt;&gt;""),H194*I194,J194),IF(OR(D194="VENTE",D194="PERTE"),-ABS(J194),IF(D194="AJUSTEMENT",J194,""))))</f>
        <v/>
      </c>
      <c r="L194" s="4" t="n"/>
      <c r="M194" s="5">
        <f>IF(OR(L194="",I194=""),"",L194/I194)</f>
        <v/>
      </c>
      <c r="N194" s="5">
        <f>IF(D194&lt;&gt;"ACHAT","",K194*M194)</f>
        <v/>
      </c>
      <c r="O194" s="4" t="n"/>
      <c r="P194" s="5">
        <f>IF(D194&lt;&gt;"VENTE","",ABS(K194)*O194)</f>
        <v/>
      </c>
      <c r="Q194" s="4" t="n"/>
    </row>
    <row r="195">
      <c r="B195" s="4" t="n"/>
      <c r="C195" s="4" t="n"/>
      <c r="D195" s="4" t="n"/>
      <c r="E195" s="4" t="n"/>
      <c r="F195" s="5">
        <f>IF(E195="","",VLOOKUP(E195,Produits!$A:$J,2,FALSE))</f>
        <v/>
      </c>
      <c r="G195" s="5">
        <f>IF(E195="","",VLOOKUP(E195,Produits!$A:$J,3,FALSE))</f>
        <v/>
      </c>
      <c r="H195" s="4" t="n"/>
      <c r="I195" s="4" t="n"/>
      <c r="J195" s="4" t="n"/>
      <c r="K195" s="5">
        <f>IF(B195=FALSE,"",IF(D195="ACHAT",IF(AND(H195&lt;&gt;"",I195&lt;&gt;""),H195*I195,J195),IF(OR(D195="VENTE",D195="PERTE"),-ABS(J195),IF(D195="AJUSTEMENT",J195,""))))</f>
        <v/>
      </c>
      <c r="L195" s="4" t="n"/>
      <c r="M195" s="5">
        <f>IF(OR(L195="",I195=""),"",L195/I195)</f>
        <v/>
      </c>
      <c r="N195" s="5">
        <f>IF(D195&lt;&gt;"ACHAT","",K195*M195)</f>
        <v/>
      </c>
      <c r="O195" s="4" t="n"/>
      <c r="P195" s="5">
        <f>IF(D195&lt;&gt;"VENTE","",ABS(K195)*O195)</f>
        <v/>
      </c>
      <c r="Q195" s="4" t="n"/>
    </row>
    <row r="196">
      <c r="B196" s="4" t="n"/>
      <c r="C196" s="4" t="n"/>
      <c r="D196" s="4" t="n"/>
      <c r="E196" s="4" t="n"/>
      <c r="F196" s="5">
        <f>IF(E196="","",VLOOKUP(E196,Produits!$A:$J,2,FALSE))</f>
        <v/>
      </c>
      <c r="G196" s="5">
        <f>IF(E196="","",VLOOKUP(E196,Produits!$A:$J,3,FALSE))</f>
        <v/>
      </c>
      <c r="H196" s="4" t="n"/>
      <c r="I196" s="4" t="n"/>
      <c r="J196" s="4" t="n"/>
      <c r="K196" s="5">
        <f>IF(B196=FALSE,"",IF(D196="ACHAT",IF(AND(H196&lt;&gt;"",I196&lt;&gt;""),H196*I196,J196),IF(OR(D196="VENTE",D196="PERTE"),-ABS(J196),IF(D196="AJUSTEMENT",J196,""))))</f>
        <v/>
      </c>
      <c r="L196" s="4" t="n"/>
      <c r="M196" s="5">
        <f>IF(OR(L196="",I196=""),"",L196/I196)</f>
        <v/>
      </c>
      <c r="N196" s="5">
        <f>IF(D196&lt;&gt;"ACHAT","",K196*M196)</f>
        <v/>
      </c>
      <c r="O196" s="4" t="n"/>
      <c r="P196" s="5">
        <f>IF(D196&lt;&gt;"VENTE","",ABS(K196)*O196)</f>
        <v/>
      </c>
      <c r="Q196" s="4" t="n"/>
    </row>
    <row r="197">
      <c r="B197" s="4" t="n"/>
      <c r="C197" s="4" t="n"/>
      <c r="D197" s="4" t="n"/>
      <c r="E197" s="4" t="n"/>
      <c r="F197" s="5">
        <f>IF(E197="","",VLOOKUP(E197,Produits!$A:$J,2,FALSE))</f>
        <v/>
      </c>
      <c r="G197" s="5">
        <f>IF(E197="","",VLOOKUP(E197,Produits!$A:$J,3,FALSE))</f>
        <v/>
      </c>
      <c r="H197" s="4" t="n"/>
      <c r="I197" s="4" t="n"/>
      <c r="J197" s="4" t="n"/>
      <c r="K197" s="5">
        <f>IF(B197=FALSE,"",IF(D197="ACHAT",IF(AND(H197&lt;&gt;"",I197&lt;&gt;""),H197*I197,J197),IF(OR(D197="VENTE",D197="PERTE"),-ABS(J197),IF(D197="AJUSTEMENT",J197,""))))</f>
        <v/>
      </c>
      <c r="L197" s="4" t="n"/>
      <c r="M197" s="5">
        <f>IF(OR(L197="",I197=""),"",L197/I197)</f>
        <v/>
      </c>
      <c r="N197" s="5">
        <f>IF(D197&lt;&gt;"ACHAT","",K197*M197)</f>
        <v/>
      </c>
      <c r="O197" s="4" t="n"/>
      <c r="P197" s="5">
        <f>IF(D197&lt;&gt;"VENTE","",ABS(K197)*O197)</f>
        <v/>
      </c>
      <c r="Q197" s="4" t="n"/>
    </row>
    <row r="198">
      <c r="B198" s="4" t="n"/>
      <c r="C198" s="4" t="n"/>
      <c r="D198" s="4" t="n"/>
      <c r="E198" s="4" t="n"/>
      <c r="F198" s="5">
        <f>IF(E198="","",VLOOKUP(E198,Produits!$A:$J,2,FALSE))</f>
        <v/>
      </c>
      <c r="G198" s="5">
        <f>IF(E198="","",VLOOKUP(E198,Produits!$A:$J,3,FALSE))</f>
        <v/>
      </c>
      <c r="H198" s="4" t="n"/>
      <c r="I198" s="4" t="n"/>
      <c r="J198" s="4" t="n"/>
      <c r="K198" s="5">
        <f>IF(B198=FALSE,"",IF(D198="ACHAT",IF(AND(H198&lt;&gt;"",I198&lt;&gt;""),H198*I198,J198),IF(OR(D198="VENTE",D198="PERTE"),-ABS(J198),IF(D198="AJUSTEMENT",J198,""))))</f>
        <v/>
      </c>
      <c r="L198" s="4" t="n"/>
      <c r="M198" s="5">
        <f>IF(OR(L198="",I198=""),"",L198/I198)</f>
        <v/>
      </c>
      <c r="N198" s="5">
        <f>IF(D198&lt;&gt;"ACHAT","",K198*M198)</f>
        <v/>
      </c>
      <c r="O198" s="4" t="n"/>
      <c r="P198" s="5">
        <f>IF(D198&lt;&gt;"VENTE","",ABS(K198)*O198)</f>
        <v/>
      </c>
      <c r="Q198" s="4" t="n"/>
    </row>
    <row r="199">
      <c r="B199" s="4" t="n"/>
      <c r="C199" s="4" t="n"/>
      <c r="D199" s="4" t="n"/>
      <c r="E199" s="4" t="n"/>
      <c r="F199" s="5">
        <f>IF(E199="","",VLOOKUP(E199,Produits!$A:$J,2,FALSE))</f>
        <v/>
      </c>
      <c r="G199" s="5">
        <f>IF(E199="","",VLOOKUP(E199,Produits!$A:$J,3,FALSE))</f>
        <v/>
      </c>
      <c r="H199" s="4" t="n"/>
      <c r="I199" s="4" t="n"/>
      <c r="J199" s="4" t="n"/>
      <c r="K199" s="5">
        <f>IF(B199=FALSE,"",IF(D199="ACHAT",IF(AND(H199&lt;&gt;"",I199&lt;&gt;""),H199*I199,J199),IF(OR(D199="VENTE",D199="PERTE"),-ABS(J199),IF(D199="AJUSTEMENT",J199,""))))</f>
        <v/>
      </c>
      <c r="L199" s="4" t="n"/>
      <c r="M199" s="5">
        <f>IF(OR(L199="",I199=""),"",L199/I199)</f>
        <v/>
      </c>
      <c r="N199" s="5">
        <f>IF(D199&lt;&gt;"ACHAT","",K199*M199)</f>
        <v/>
      </c>
      <c r="O199" s="4" t="n"/>
      <c r="P199" s="5">
        <f>IF(D199&lt;&gt;"VENTE","",ABS(K199)*O199)</f>
        <v/>
      </c>
      <c r="Q199" s="4" t="n"/>
    </row>
    <row r="200">
      <c r="B200" s="4" t="n"/>
      <c r="C200" s="4" t="n"/>
      <c r="D200" s="4" t="n"/>
      <c r="E200" s="4" t="n"/>
      <c r="F200" s="5">
        <f>IF(E200="","",VLOOKUP(E200,Produits!$A:$J,2,FALSE))</f>
        <v/>
      </c>
      <c r="G200" s="5">
        <f>IF(E200="","",VLOOKUP(E200,Produits!$A:$J,3,FALSE))</f>
        <v/>
      </c>
      <c r="H200" s="4" t="n"/>
      <c r="I200" s="4" t="n"/>
      <c r="J200" s="4" t="n"/>
      <c r="K200" s="5">
        <f>IF(B200=FALSE,"",IF(D200="ACHAT",IF(AND(H200&lt;&gt;"",I200&lt;&gt;""),H200*I200,J200),IF(OR(D200="VENTE",D200="PERTE"),-ABS(J200),IF(D200="AJUSTEMENT",J200,""))))</f>
        <v/>
      </c>
      <c r="L200" s="4" t="n"/>
      <c r="M200" s="5">
        <f>IF(OR(L200="",I200=""),"",L200/I200)</f>
        <v/>
      </c>
      <c r="N200" s="5">
        <f>IF(D200&lt;&gt;"ACHAT","",K200*M200)</f>
        <v/>
      </c>
      <c r="O200" s="4" t="n"/>
      <c r="P200" s="5">
        <f>IF(D200&lt;&gt;"VENTE","",ABS(K200)*O200)</f>
        <v/>
      </c>
      <c r="Q200" s="4" t="n"/>
    </row>
    <row r="201">
      <c r="B201" s="4" t="n"/>
      <c r="C201" s="4" t="n"/>
      <c r="D201" s="4" t="n"/>
      <c r="E201" s="4" t="n"/>
      <c r="F201" s="5">
        <f>IF(E201="","",VLOOKUP(E201,Produits!$A:$J,2,FALSE))</f>
        <v/>
      </c>
      <c r="G201" s="5">
        <f>IF(E201="","",VLOOKUP(E201,Produits!$A:$J,3,FALSE))</f>
        <v/>
      </c>
      <c r="H201" s="4" t="n"/>
      <c r="I201" s="4" t="n"/>
      <c r="J201" s="4" t="n"/>
      <c r="K201" s="5">
        <f>IF(B201=FALSE,"",IF(D201="ACHAT",IF(AND(H201&lt;&gt;"",I201&lt;&gt;""),H201*I201,J201),IF(OR(D201="VENTE",D201="PERTE"),-ABS(J201),IF(D201="AJUSTEMENT",J201,""))))</f>
        <v/>
      </c>
      <c r="L201" s="4" t="n"/>
      <c r="M201" s="5">
        <f>IF(OR(L201="",I201=""),"",L201/I201)</f>
        <v/>
      </c>
      <c r="N201" s="5">
        <f>IF(D201&lt;&gt;"ACHAT","",K201*M201)</f>
        <v/>
      </c>
      <c r="O201" s="4" t="n"/>
      <c r="P201" s="5">
        <f>IF(D201&lt;&gt;"VENTE","",ABS(K201)*O201)</f>
        <v/>
      </c>
      <c r="Q201" s="4" t="n"/>
    </row>
    <row r="202">
      <c r="B202" s="4" t="n"/>
      <c r="C202" s="4" t="n"/>
      <c r="D202" s="4" t="n"/>
      <c r="E202" s="4" t="n"/>
      <c r="F202" s="5">
        <f>IF(E202="","",VLOOKUP(E202,Produits!$A:$J,2,FALSE))</f>
        <v/>
      </c>
      <c r="G202" s="5">
        <f>IF(E202="","",VLOOKUP(E202,Produits!$A:$J,3,FALSE))</f>
        <v/>
      </c>
      <c r="H202" s="4" t="n"/>
      <c r="I202" s="4" t="n"/>
      <c r="J202" s="4" t="n"/>
      <c r="K202" s="5">
        <f>IF(B202=FALSE,"",IF(D202="ACHAT",IF(AND(H202&lt;&gt;"",I202&lt;&gt;""),H202*I202,J202),IF(OR(D202="VENTE",D202="PERTE"),-ABS(J202),IF(D202="AJUSTEMENT",J202,""))))</f>
        <v/>
      </c>
      <c r="L202" s="4" t="n"/>
      <c r="M202" s="5">
        <f>IF(OR(L202="",I202=""),"",L202/I202)</f>
        <v/>
      </c>
      <c r="N202" s="5">
        <f>IF(D202&lt;&gt;"ACHAT","",K202*M202)</f>
        <v/>
      </c>
      <c r="O202" s="4" t="n"/>
      <c r="P202" s="5">
        <f>IF(D202&lt;&gt;"VENTE","",ABS(K202)*O202)</f>
        <v/>
      </c>
      <c r="Q202" s="4" t="n"/>
    </row>
    <row r="203">
      <c r="B203" s="4" t="n"/>
      <c r="C203" s="4" t="n"/>
      <c r="D203" s="4" t="n"/>
      <c r="E203" s="4" t="n"/>
      <c r="F203" s="5">
        <f>IF(E203="","",VLOOKUP(E203,Produits!$A:$J,2,FALSE))</f>
        <v/>
      </c>
      <c r="G203" s="5">
        <f>IF(E203="","",VLOOKUP(E203,Produits!$A:$J,3,FALSE))</f>
        <v/>
      </c>
      <c r="H203" s="4" t="n"/>
      <c r="I203" s="4" t="n"/>
      <c r="J203" s="4" t="n"/>
      <c r="K203" s="5">
        <f>IF(B203=FALSE,"",IF(D203="ACHAT",IF(AND(H203&lt;&gt;"",I203&lt;&gt;""),H203*I203,J203),IF(OR(D203="VENTE",D203="PERTE"),-ABS(J203),IF(D203="AJUSTEMENT",J203,""))))</f>
        <v/>
      </c>
      <c r="L203" s="4" t="n"/>
      <c r="M203" s="5">
        <f>IF(OR(L203="",I203=""),"",L203/I203)</f>
        <v/>
      </c>
      <c r="N203" s="5">
        <f>IF(D203&lt;&gt;"ACHAT","",K203*M203)</f>
        <v/>
      </c>
      <c r="O203" s="4" t="n"/>
      <c r="P203" s="5">
        <f>IF(D203&lt;&gt;"VENTE","",ABS(K203)*O203)</f>
        <v/>
      </c>
      <c r="Q203" s="4" t="n"/>
    </row>
    <row r="204">
      <c r="B204" s="4" t="n"/>
      <c r="C204" s="4" t="n"/>
      <c r="D204" s="4" t="n"/>
      <c r="E204" s="4" t="n"/>
      <c r="F204" s="5">
        <f>IF(E204="","",VLOOKUP(E204,Produits!$A:$J,2,FALSE))</f>
        <v/>
      </c>
      <c r="G204" s="5">
        <f>IF(E204="","",VLOOKUP(E204,Produits!$A:$J,3,FALSE))</f>
        <v/>
      </c>
      <c r="H204" s="4" t="n"/>
      <c r="I204" s="4" t="n"/>
      <c r="J204" s="4" t="n"/>
      <c r="K204" s="5">
        <f>IF(B204=FALSE,"",IF(D204="ACHAT",IF(AND(H204&lt;&gt;"",I204&lt;&gt;""),H204*I204,J204),IF(OR(D204="VENTE",D204="PERTE"),-ABS(J204),IF(D204="AJUSTEMENT",J204,""))))</f>
        <v/>
      </c>
      <c r="L204" s="4" t="n"/>
      <c r="M204" s="5">
        <f>IF(OR(L204="",I204=""),"",L204/I204)</f>
        <v/>
      </c>
      <c r="N204" s="5">
        <f>IF(D204&lt;&gt;"ACHAT","",K204*M204)</f>
        <v/>
      </c>
      <c r="O204" s="4" t="n"/>
      <c r="P204" s="5">
        <f>IF(D204&lt;&gt;"VENTE","",ABS(K204)*O204)</f>
        <v/>
      </c>
      <c r="Q204" s="4" t="n"/>
    </row>
    <row r="205">
      <c r="B205" s="4" t="n"/>
      <c r="C205" s="4" t="n"/>
      <c r="D205" s="4" t="n"/>
      <c r="E205" s="4" t="n"/>
      <c r="F205" s="5">
        <f>IF(E205="","",VLOOKUP(E205,Produits!$A:$J,2,FALSE))</f>
        <v/>
      </c>
      <c r="G205" s="5">
        <f>IF(E205="","",VLOOKUP(E205,Produits!$A:$J,3,FALSE))</f>
        <v/>
      </c>
      <c r="H205" s="4" t="n"/>
      <c r="I205" s="4" t="n"/>
      <c r="J205" s="4" t="n"/>
      <c r="K205" s="5">
        <f>IF(B205=FALSE,"",IF(D205="ACHAT",IF(AND(H205&lt;&gt;"",I205&lt;&gt;""),H205*I205,J205),IF(OR(D205="VENTE",D205="PERTE"),-ABS(J205),IF(D205="AJUSTEMENT",J205,""))))</f>
        <v/>
      </c>
      <c r="L205" s="4" t="n"/>
      <c r="M205" s="5">
        <f>IF(OR(L205="",I205=""),"",L205/I205)</f>
        <v/>
      </c>
      <c r="N205" s="5">
        <f>IF(D205&lt;&gt;"ACHAT","",K205*M205)</f>
        <v/>
      </c>
      <c r="O205" s="4" t="n"/>
      <c r="P205" s="5">
        <f>IF(D205&lt;&gt;"VENTE","",ABS(K205)*O205)</f>
        <v/>
      </c>
      <c r="Q205" s="4" t="n"/>
    </row>
    <row r="206">
      <c r="B206" s="4" t="n"/>
      <c r="C206" s="4" t="n"/>
      <c r="D206" s="4" t="n"/>
      <c r="E206" s="4" t="n"/>
      <c r="F206" s="5">
        <f>IF(E206="","",VLOOKUP(E206,Produits!$A:$J,2,FALSE))</f>
        <v/>
      </c>
      <c r="G206" s="5">
        <f>IF(E206="","",VLOOKUP(E206,Produits!$A:$J,3,FALSE))</f>
        <v/>
      </c>
      <c r="H206" s="4" t="n"/>
      <c r="I206" s="4" t="n"/>
      <c r="J206" s="4" t="n"/>
      <c r="K206" s="5">
        <f>IF(B206=FALSE,"",IF(D206="ACHAT",IF(AND(H206&lt;&gt;"",I206&lt;&gt;""),H206*I206,J206),IF(OR(D206="VENTE",D206="PERTE"),-ABS(J206),IF(D206="AJUSTEMENT",J206,""))))</f>
        <v/>
      </c>
      <c r="L206" s="4" t="n"/>
      <c r="M206" s="5">
        <f>IF(OR(L206="",I206=""),"",L206/I206)</f>
        <v/>
      </c>
      <c r="N206" s="5">
        <f>IF(D206&lt;&gt;"ACHAT","",K206*M206)</f>
        <v/>
      </c>
      <c r="O206" s="4" t="n"/>
      <c r="P206" s="5">
        <f>IF(D206&lt;&gt;"VENTE","",ABS(K206)*O206)</f>
        <v/>
      </c>
      <c r="Q206" s="4" t="n"/>
    </row>
    <row r="207">
      <c r="B207" s="4" t="n"/>
      <c r="C207" s="4" t="n"/>
      <c r="D207" s="4" t="n"/>
      <c r="E207" s="4" t="n"/>
      <c r="F207" s="5">
        <f>IF(E207="","",VLOOKUP(E207,Produits!$A:$J,2,FALSE))</f>
        <v/>
      </c>
      <c r="G207" s="5">
        <f>IF(E207="","",VLOOKUP(E207,Produits!$A:$J,3,FALSE))</f>
        <v/>
      </c>
      <c r="H207" s="4" t="n"/>
      <c r="I207" s="4" t="n"/>
      <c r="J207" s="4" t="n"/>
      <c r="K207" s="5">
        <f>IF(B207=FALSE,"",IF(D207="ACHAT",IF(AND(H207&lt;&gt;"",I207&lt;&gt;""),H207*I207,J207),IF(OR(D207="VENTE",D207="PERTE"),-ABS(J207),IF(D207="AJUSTEMENT",J207,""))))</f>
        <v/>
      </c>
      <c r="L207" s="4" t="n"/>
      <c r="M207" s="5">
        <f>IF(OR(L207="",I207=""),"",L207/I207)</f>
        <v/>
      </c>
      <c r="N207" s="5">
        <f>IF(D207&lt;&gt;"ACHAT","",K207*M207)</f>
        <v/>
      </c>
      <c r="O207" s="4" t="n"/>
      <c r="P207" s="5">
        <f>IF(D207&lt;&gt;"VENTE","",ABS(K207)*O207)</f>
        <v/>
      </c>
      <c r="Q207" s="4" t="n"/>
    </row>
    <row r="208">
      <c r="B208" s="4" t="n"/>
      <c r="C208" s="4" t="n"/>
      <c r="D208" s="4" t="n"/>
      <c r="E208" s="4" t="n"/>
      <c r="F208" s="5">
        <f>IF(E208="","",VLOOKUP(E208,Produits!$A:$J,2,FALSE))</f>
        <v/>
      </c>
      <c r="G208" s="5">
        <f>IF(E208="","",VLOOKUP(E208,Produits!$A:$J,3,FALSE))</f>
        <v/>
      </c>
      <c r="H208" s="4" t="n"/>
      <c r="I208" s="4" t="n"/>
      <c r="J208" s="4" t="n"/>
      <c r="K208" s="5">
        <f>IF(B208=FALSE,"",IF(D208="ACHAT",IF(AND(H208&lt;&gt;"",I208&lt;&gt;""),H208*I208,J208),IF(OR(D208="VENTE",D208="PERTE"),-ABS(J208),IF(D208="AJUSTEMENT",J208,""))))</f>
        <v/>
      </c>
      <c r="L208" s="4" t="n"/>
      <c r="M208" s="5">
        <f>IF(OR(L208="",I208=""),"",L208/I208)</f>
        <v/>
      </c>
      <c r="N208" s="5">
        <f>IF(D208&lt;&gt;"ACHAT","",K208*M208)</f>
        <v/>
      </c>
      <c r="O208" s="4" t="n"/>
      <c r="P208" s="5">
        <f>IF(D208&lt;&gt;"VENTE","",ABS(K208)*O208)</f>
        <v/>
      </c>
      <c r="Q208" s="4" t="n"/>
    </row>
    <row r="209">
      <c r="B209" s="4" t="n"/>
      <c r="C209" s="4" t="n"/>
      <c r="D209" s="4" t="n"/>
      <c r="E209" s="4" t="n"/>
      <c r="F209" s="5">
        <f>IF(E209="","",VLOOKUP(E209,Produits!$A:$J,2,FALSE))</f>
        <v/>
      </c>
      <c r="G209" s="5">
        <f>IF(E209="","",VLOOKUP(E209,Produits!$A:$J,3,FALSE))</f>
        <v/>
      </c>
      <c r="H209" s="4" t="n"/>
      <c r="I209" s="4" t="n"/>
      <c r="J209" s="4" t="n"/>
      <c r="K209" s="5">
        <f>IF(B209=FALSE,"",IF(D209="ACHAT",IF(AND(H209&lt;&gt;"",I209&lt;&gt;""),H209*I209,J209),IF(OR(D209="VENTE",D209="PERTE"),-ABS(J209),IF(D209="AJUSTEMENT",J209,""))))</f>
        <v/>
      </c>
      <c r="L209" s="4" t="n"/>
      <c r="M209" s="5">
        <f>IF(OR(L209="",I209=""),"",L209/I209)</f>
        <v/>
      </c>
      <c r="N209" s="5">
        <f>IF(D209&lt;&gt;"ACHAT","",K209*M209)</f>
        <v/>
      </c>
      <c r="O209" s="4" t="n"/>
      <c r="P209" s="5">
        <f>IF(D209&lt;&gt;"VENTE","",ABS(K209)*O209)</f>
        <v/>
      </c>
      <c r="Q209" s="4" t="n"/>
    </row>
    <row r="210">
      <c r="B210" s="4" t="n"/>
      <c r="C210" s="4" t="n"/>
      <c r="D210" s="4" t="n"/>
      <c r="E210" s="4" t="n"/>
      <c r="F210" s="5">
        <f>IF(E210="","",VLOOKUP(E210,Produits!$A:$J,2,FALSE))</f>
        <v/>
      </c>
      <c r="G210" s="5">
        <f>IF(E210="","",VLOOKUP(E210,Produits!$A:$J,3,FALSE))</f>
        <v/>
      </c>
      <c r="H210" s="4" t="n"/>
      <c r="I210" s="4" t="n"/>
      <c r="J210" s="4" t="n"/>
      <c r="K210" s="5">
        <f>IF(B210=FALSE,"",IF(D210="ACHAT",IF(AND(H210&lt;&gt;"",I210&lt;&gt;""),H210*I210,J210),IF(OR(D210="VENTE",D210="PERTE"),-ABS(J210),IF(D210="AJUSTEMENT",J210,""))))</f>
        <v/>
      </c>
      <c r="L210" s="4" t="n"/>
      <c r="M210" s="5">
        <f>IF(OR(L210="",I210=""),"",L210/I210)</f>
        <v/>
      </c>
      <c r="N210" s="5">
        <f>IF(D210&lt;&gt;"ACHAT","",K210*M210)</f>
        <v/>
      </c>
      <c r="O210" s="4" t="n"/>
      <c r="P210" s="5">
        <f>IF(D210&lt;&gt;"VENTE","",ABS(K210)*O210)</f>
        <v/>
      </c>
      <c r="Q210" s="4" t="n"/>
    </row>
    <row r="211">
      <c r="B211" s="4" t="n"/>
      <c r="C211" s="4" t="n"/>
      <c r="D211" s="4" t="n"/>
      <c r="E211" s="4" t="n"/>
      <c r="F211" s="5">
        <f>IF(E211="","",VLOOKUP(E211,Produits!$A:$J,2,FALSE))</f>
        <v/>
      </c>
      <c r="G211" s="5">
        <f>IF(E211="","",VLOOKUP(E211,Produits!$A:$J,3,FALSE))</f>
        <v/>
      </c>
      <c r="H211" s="4" t="n"/>
      <c r="I211" s="4" t="n"/>
      <c r="J211" s="4" t="n"/>
      <c r="K211" s="5">
        <f>IF(B211=FALSE,"",IF(D211="ACHAT",IF(AND(H211&lt;&gt;"",I211&lt;&gt;""),H211*I211,J211),IF(OR(D211="VENTE",D211="PERTE"),-ABS(J211),IF(D211="AJUSTEMENT",J211,""))))</f>
        <v/>
      </c>
      <c r="L211" s="4" t="n"/>
      <c r="M211" s="5">
        <f>IF(OR(L211="",I211=""),"",L211/I211)</f>
        <v/>
      </c>
      <c r="N211" s="5">
        <f>IF(D211&lt;&gt;"ACHAT","",K211*M211)</f>
        <v/>
      </c>
      <c r="O211" s="4" t="n"/>
      <c r="P211" s="5">
        <f>IF(D211&lt;&gt;"VENTE","",ABS(K211)*O211)</f>
        <v/>
      </c>
      <c r="Q211" s="4" t="n"/>
    </row>
    <row r="212">
      <c r="B212" s="4" t="n"/>
      <c r="C212" s="4" t="n"/>
      <c r="D212" s="4" t="n"/>
      <c r="E212" s="4" t="n"/>
      <c r="F212" s="5" t="n"/>
      <c r="G212" s="5" t="n"/>
      <c r="H212" s="4" t="n"/>
      <c r="I212" s="4" t="n"/>
      <c r="J212" s="4" t="n"/>
      <c r="K212" s="5" t="n"/>
      <c r="L212" s="4" t="n"/>
      <c r="M212" s="5" t="n"/>
      <c r="N212" s="5" t="n"/>
      <c r="O212" s="4" t="n"/>
      <c r="P212" s="5" t="n"/>
      <c r="Q212" s="4" t="n"/>
    </row>
    <row r="213">
      <c r="B213" s="4" t="n"/>
      <c r="C213" s="4" t="n"/>
      <c r="D213" s="4" t="n"/>
      <c r="E213" s="4" t="n"/>
      <c r="F213" s="5" t="n"/>
      <c r="G213" s="5" t="n"/>
      <c r="H213" s="4" t="n"/>
      <c r="I213" s="4" t="n"/>
      <c r="J213" s="4" t="n"/>
      <c r="K213" s="5" t="n"/>
      <c r="L213" s="4" t="n"/>
      <c r="M213" s="5" t="n"/>
      <c r="N213" s="5" t="n"/>
      <c r="O213" s="4" t="n"/>
      <c r="P213" s="5" t="n"/>
      <c r="Q213" s="4" t="n"/>
    </row>
    <row r="214">
      <c r="B214" s="4" t="n"/>
      <c r="C214" s="4" t="n"/>
      <c r="D214" s="4" t="n"/>
      <c r="E214" s="4" t="n"/>
      <c r="F214" s="5" t="n"/>
      <c r="G214" s="5" t="n"/>
      <c r="H214" s="4" t="n"/>
      <c r="I214" s="4" t="n"/>
      <c r="J214" s="4" t="n"/>
      <c r="K214" s="5" t="n"/>
      <c r="L214" s="4" t="n"/>
      <c r="M214" s="5" t="n"/>
      <c r="N214" s="5" t="n"/>
      <c r="O214" s="4" t="n"/>
      <c r="P214" s="5" t="n"/>
      <c r="Q214" s="4" t="n"/>
    </row>
    <row r="215">
      <c r="B215" s="4" t="n"/>
      <c r="C215" s="4" t="n"/>
      <c r="D215" s="4" t="n"/>
      <c r="E215" s="4" t="n"/>
      <c r="F215" s="5" t="n"/>
      <c r="G215" s="5" t="n"/>
      <c r="H215" s="4" t="n"/>
      <c r="I215" s="4" t="n"/>
      <c r="J215" s="4" t="n"/>
      <c r="K215" s="5" t="n"/>
      <c r="L215" s="4" t="n"/>
      <c r="M215" s="5" t="n"/>
      <c r="N215" s="5" t="n"/>
      <c r="O215" s="4" t="n"/>
      <c r="P215" s="5" t="n"/>
      <c r="Q215" s="4" t="n"/>
    </row>
    <row r="216">
      <c r="B216" s="4" t="n"/>
      <c r="C216" s="4" t="n"/>
      <c r="D216" s="4" t="n"/>
      <c r="E216" s="4" t="n"/>
      <c r="F216" s="5" t="n"/>
      <c r="G216" s="5" t="n"/>
      <c r="H216" s="4" t="n"/>
      <c r="I216" s="4" t="n"/>
      <c r="J216" s="4" t="n"/>
      <c r="K216" s="5" t="n"/>
      <c r="L216" s="4" t="n"/>
      <c r="M216" s="5" t="n"/>
      <c r="N216" s="5" t="n"/>
      <c r="O216" s="4" t="n"/>
      <c r="P216" s="5" t="n"/>
      <c r="Q216" s="4" t="n"/>
    </row>
    <row r="217">
      <c r="B217" s="4" t="n"/>
      <c r="C217" s="4" t="n"/>
      <c r="D217" s="4" t="n"/>
      <c r="E217" s="4" t="n"/>
      <c r="F217" s="5" t="n"/>
      <c r="G217" s="5" t="n"/>
      <c r="H217" s="4" t="n"/>
      <c r="I217" s="4" t="n"/>
      <c r="J217" s="4" t="n"/>
      <c r="K217" s="5" t="n"/>
      <c r="L217" s="4" t="n"/>
      <c r="M217" s="5" t="n"/>
      <c r="N217" s="5" t="n"/>
      <c r="O217" s="4" t="n"/>
      <c r="P217" s="5" t="n"/>
      <c r="Q217" s="4" t="n"/>
    </row>
    <row r="218">
      <c r="B218" s="4" t="n"/>
      <c r="C218" s="4" t="n"/>
      <c r="D218" s="4" t="n"/>
      <c r="E218" s="4" t="n"/>
      <c r="F218" s="5" t="n"/>
      <c r="G218" s="5" t="n"/>
      <c r="H218" s="4" t="n"/>
      <c r="I218" s="4" t="n"/>
      <c r="J218" s="4" t="n"/>
      <c r="K218" s="5" t="n"/>
      <c r="L218" s="4" t="n"/>
      <c r="M218" s="5" t="n"/>
      <c r="N218" s="5" t="n"/>
      <c r="O218" s="4" t="n"/>
      <c r="P218" s="5" t="n"/>
      <c r="Q218" s="4" t="n"/>
    </row>
    <row r="219">
      <c r="B219" s="4" t="n"/>
      <c r="C219" s="4" t="n"/>
      <c r="D219" s="4" t="n"/>
      <c r="E219" s="4" t="n"/>
      <c r="F219" s="5" t="n"/>
      <c r="G219" s="5" t="n"/>
      <c r="H219" s="4" t="n"/>
      <c r="I219" s="4" t="n"/>
      <c r="J219" s="4" t="n"/>
      <c r="K219" s="5" t="n"/>
      <c r="L219" s="4" t="n"/>
      <c r="M219" s="5" t="n"/>
      <c r="N219" s="5" t="n"/>
      <c r="O219" s="4" t="n"/>
      <c r="P219" s="5" t="n"/>
      <c r="Q219" s="4" t="n"/>
    </row>
    <row r="220">
      <c r="B220" s="4" t="n"/>
      <c r="C220" s="4" t="n"/>
      <c r="D220" s="4" t="n"/>
      <c r="E220" s="4" t="n"/>
      <c r="F220" s="5" t="n"/>
      <c r="G220" s="5" t="n"/>
      <c r="H220" s="4" t="n"/>
      <c r="I220" s="4" t="n"/>
      <c r="J220" s="4" t="n"/>
      <c r="K220" s="5" t="n"/>
      <c r="L220" s="4" t="n"/>
      <c r="M220" s="5" t="n"/>
      <c r="N220" s="5" t="n"/>
      <c r="O220" s="4" t="n"/>
      <c r="P220" s="5" t="n"/>
      <c r="Q220" s="4" t="n"/>
    </row>
    <row r="221">
      <c r="B221" s="4" t="n"/>
      <c r="C221" s="4" t="n"/>
      <c r="D221" s="4" t="n"/>
      <c r="E221" s="4" t="n"/>
      <c r="F221" s="5" t="n"/>
      <c r="G221" s="5" t="n"/>
      <c r="H221" s="4" t="n"/>
      <c r="I221" s="4" t="n"/>
      <c r="J221" s="4" t="n"/>
      <c r="K221" s="5" t="n"/>
      <c r="L221" s="4" t="n"/>
      <c r="M221" s="5" t="n"/>
      <c r="N221" s="5" t="n"/>
      <c r="O221" s="4" t="n"/>
      <c r="P221" s="5" t="n"/>
      <c r="Q221" s="4" t="n"/>
    </row>
    <row r="222">
      <c r="B222" s="4" t="n"/>
      <c r="C222" s="4" t="n"/>
      <c r="D222" s="4" t="n"/>
      <c r="E222" s="4" t="n"/>
      <c r="F222" s="5" t="n"/>
      <c r="G222" s="5" t="n"/>
      <c r="H222" s="4" t="n"/>
      <c r="I222" s="4" t="n"/>
      <c r="J222" s="4" t="n"/>
      <c r="K222" s="5" t="n"/>
      <c r="L222" s="4" t="n"/>
      <c r="M222" s="5" t="n"/>
      <c r="N222" s="5" t="n"/>
      <c r="O222" s="4" t="n"/>
      <c r="P222" s="5" t="n"/>
      <c r="Q222" s="4" t="n"/>
    </row>
    <row r="223">
      <c r="B223" s="4" t="n"/>
      <c r="C223" s="4" t="n"/>
      <c r="D223" s="4" t="n"/>
      <c r="E223" s="4" t="n"/>
      <c r="F223" s="5" t="n"/>
      <c r="G223" s="5" t="n"/>
      <c r="H223" s="4" t="n"/>
      <c r="I223" s="4" t="n"/>
      <c r="J223" s="4" t="n"/>
      <c r="K223" s="5" t="n"/>
      <c r="L223" s="4" t="n"/>
      <c r="M223" s="5" t="n"/>
      <c r="N223" s="5" t="n"/>
      <c r="O223" s="4" t="n"/>
      <c r="P223" s="5" t="n"/>
      <c r="Q223" s="4" t="n"/>
    </row>
    <row r="224">
      <c r="B224" s="4" t="n"/>
      <c r="C224" s="4" t="n"/>
      <c r="D224" s="4" t="n"/>
      <c r="E224" s="4" t="n"/>
      <c r="F224" s="5" t="n"/>
      <c r="G224" s="5" t="n"/>
      <c r="H224" s="4" t="n"/>
      <c r="I224" s="4" t="n"/>
      <c r="J224" s="4" t="n"/>
      <c r="K224" s="5" t="n"/>
      <c r="L224" s="4" t="n"/>
      <c r="M224" s="5" t="n"/>
      <c r="N224" s="5" t="n"/>
      <c r="O224" s="4" t="n"/>
      <c r="P224" s="5" t="n"/>
      <c r="Q224" s="4" t="n"/>
    </row>
    <row r="225">
      <c r="B225" s="4" t="n"/>
      <c r="C225" s="4" t="n"/>
      <c r="D225" s="4" t="n"/>
      <c r="E225" s="4" t="n"/>
      <c r="F225" s="5" t="n"/>
      <c r="G225" s="5" t="n"/>
      <c r="H225" s="4" t="n"/>
      <c r="I225" s="4" t="n"/>
      <c r="J225" s="4" t="n"/>
      <c r="K225" s="5" t="n"/>
      <c r="L225" s="4" t="n"/>
      <c r="M225" s="5" t="n"/>
      <c r="N225" s="5" t="n"/>
      <c r="O225" s="4" t="n"/>
      <c r="P225" s="5" t="n"/>
      <c r="Q225" s="4" t="n"/>
    </row>
    <row r="226">
      <c r="B226" s="4" t="n"/>
      <c r="C226" s="4" t="n"/>
      <c r="D226" s="4" t="n"/>
      <c r="E226" s="4" t="n"/>
      <c r="F226" s="5" t="n"/>
      <c r="G226" s="5" t="n"/>
      <c r="H226" s="4" t="n"/>
      <c r="I226" s="4" t="n"/>
      <c r="J226" s="4" t="n"/>
      <c r="K226" s="5" t="n"/>
      <c r="L226" s="4" t="n"/>
      <c r="M226" s="5" t="n"/>
      <c r="N226" s="5" t="n"/>
      <c r="O226" s="4" t="n"/>
      <c r="P226" s="5" t="n"/>
      <c r="Q226" s="4" t="n"/>
    </row>
    <row r="227">
      <c r="B227" s="4" t="n"/>
      <c r="C227" s="4" t="n"/>
      <c r="D227" s="4" t="n"/>
      <c r="E227" s="4" t="n"/>
      <c r="F227" s="5" t="n"/>
      <c r="G227" s="5" t="n"/>
      <c r="H227" s="4" t="n"/>
      <c r="I227" s="4" t="n"/>
      <c r="J227" s="4" t="n"/>
      <c r="K227" s="5" t="n"/>
      <c r="L227" s="4" t="n"/>
      <c r="M227" s="5" t="n"/>
      <c r="N227" s="5" t="n"/>
      <c r="O227" s="4" t="n"/>
      <c r="P227" s="5" t="n"/>
      <c r="Q227" s="4" t="n"/>
    </row>
    <row r="228">
      <c r="B228" s="4" t="n"/>
      <c r="C228" s="4" t="n"/>
      <c r="D228" s="4" t="n"/>
      <c r="E228" s="4" t="n"/>
      <c r="F228" s="5" t="n"/>
      <c r="G228" s="5" t="n"/>
      <c r="H228" s="4" t="n"/>
      <c r="I228" s="4" t="n"/>
      <c r="J228" s="4" t="n"/>
      <c r="K228" s="5" t="n"/>
      <c r="L228" s="4" t="n"/>
      <c r="M228" s="5" t="n"/>
      <c r="N228" s="5" t="n"/>
      <c r="O228" s="4" t="n"/>
      <c r="P228" s="5" t="n"/>
      <c r="Q228" s="4" t="n"/>
    </row>
    <row r="229">
      <c r="B229" s="4" t="n"/>
      <c r="C229" s="4" t="n"/>
      <c r="D229" s="4" t="n"/>
      <c r="E229" s="4" t="n"/>
      <c r="F229" s="5" t="n"/>
      <c r="G229" s="5" t="n"/>
      <c r="H229" s="4" t="n"/>
      <c r="I229" s="4" t="n"/>
      <c r="J229" s="4" t="n"/>
      <c r="K229" s="5" t="n"/>
      <c r="L229" s="4" t="n"/>
      <c r="M229" s="5" t="n"/>
      <c r="N229" s="5" t="n"/>
      <c r="O229" s="4" t="n"/>
      <c r="P229" s="5" t="n"/>
      <c r="Q229" s="4" t="n"/>
    </row>
    <row r="230">
      <c r="B230" s="4" t="n"/>
      <c r="C230" s="4" t="n"/>
      <c r="D230" s="4" t="n"/>
      <c r="E230" s="4" t="n"/>
      <c r="F230" s="5" t="n"/>
      <c r="G230" s="5" t="n"/>
      <c r="H230" s="4" t="n"/>
      <c r="I230" s="4" t="n"/>
      <c r="J230" s="4" t="n"/>
      <c r="K230" s="5" t="n"/>
      <c r="L230" s="4" t="n"/>
      <c r="M230" s="5" t="n"/>
      <c r="N230" s="5" t="n"/>
      <c r="O230" s="4" t="n"/>
      <c r="P230" s="5" t="n"/>
      <c r="Q230" s="4" t="n"/>
    </row>
    <row r="231">
      <c r="B231" s="4" t="n"/>
      <c r="C231" s="4" t="n"/>
      <c r="D231" s="4" t="n"/>
      <c r="E231" s="4" t="n"/>
      <c r="F231" s="5" t="n"/>
      <c r="G231" s="5" t="n"/>
      <c r="H231" s="4" t="n"/>
      <c r="I231" s="4" t="n"/>
      <c r="J231" s="4" t="n"/>
      <c r="K231" s="5" t="n"/>
      <c r="L231" s="4" t="n"/>
      <c r="M231" s="5" t="n"/>
      <c r="N231" s="5" t="n"/>
      <c r="O231" s="4" t="n"/>
      <c r="P231" s="5" t="n"/>
      <c r="Q231" s="4" t="n"/>
    </row>
    <row r="232">
      <c r="B232" s="4" t="n"/>
      <c r="C232" s="4" t="n"/>
      <c r="D232" s="4" t="n"/>
      <c r="E232" s="4" t="n"/>
      <c r="F232" s="5" t="n"/>
      <c r="G232" s="5" t="n"/>
      <c r="H232" s="4" t="n"/>
      <c r="I232" s="4" t="n"/>
      <c r="J232" s="4" t="n"/>
      <c r="K232" s="5" t="n"/>
      <c r="L232" s="4" t="n"/>
      <c r="M232" s="5" t="n"/>
      <c r="N232" s="5" t="n"/>
      <c r="O232" s="4" t="n"/>
      <c r="P232" s="5" t="n"/>
      <c r="Q232" s="4" t="n"/>
    </row>
    <row r="233">
      <c r="B233" s="4" t="n"/>
      <c r="C233" s="4" t="n"/>
      <c r="D233" s="4" t="n"/>
      <c r="E233" s="4" t="n"/>
      <c r="F233" s="5" t="n"/>
      <c r="G233" s="5" t="n"/>
      <c r="H233" s="4" t="n"/>
      <c r="I233" s="4" t="n"/>
      <c r="J233" s="4" t="n"/>
      <c r="K233" s="5" t="n"/>
      <c r="L233" s="4" t="n"/>
      <c r="M233" s="5" t="n"/>
      <c r="N233" s="5" t="n"/>
      <c r="O233" s="4" t="n"/>
      <c r="P233" s="5" t="n"/>
      <c r="Q233" s="4" t="n"/>
    </row>
    <row r="234">
      <c r="B234" s="4" t="n"/>
      <c r="C234" s="4" t="n"/>
      <c r="D234" s="4" t="n"/>
      <c r="E234" s="4" t="n"/>
      <c r="F234" s="5" t="n"/>
      <c r="G234" s="5" t="n"/>
      <c r="H234" s="4" t="n"/>
      <c r="I234" s="4" t="n"/>
      <c r="J234" s="4" t="n"/>
      <c r="K234" s="5" t="n"/>
      <c r="L234" s="4" t="n"/>
      <c r="M234" s="5" t="n"/>
      <c r="N234" s="5" t="n"/>
      <c r="O234" s="4" t="n"/>
      <c r="P234" s="5" t="n"/>
      <c r="Q234" s="4" t="n"/>
    </row>
    <row r="235">
      <c r="B235" s="4" t="n"/>
      <c r="C235" s="4" t="n"/>
      <c r="D235" s="4" t="n"/>
      <c r="E235" s="4" t="n"/>
      <c r="F235" s="5" t="n"/>
      <c r="G235" s="5" t="n"/>
      <c r="H235" s="4" t="n"/>
      <c r="I235" s="4" t="n"/>
      <c r="J235" s="4" t="n"/>
      <c r="K235" s="5" t="n"/>
      <c r="L235" s="4" t="n"/>
      <c r="M235" s="5" t="n"/>
      <c r="N235" s="5" t="n"/>
      <c r="O235" s="4" t="n"/>
      <c r="P235" s="5" t="n"/>
      <c r="Q235" s="4" t="n"/>
    </row>
    <row r="236">
      <c r="B236" s="4" t="n"/>
      <c r="C236" s="4" t="n"/>
      <c r="D236" s="4" t="n"/>
      <c r="E236" s="4" t="n"/>
      <c r="F236" s="5" t="n"/>
      <c r="G236" s="5" t="n"/>
      <c r="H236" s="4" t="n"/>
      <c r="I236" s="4" t="n"/>
      <c r="J236" s="4" t="n"/>
      <c r="K236" s="5" t="n"/>
      <c r="L236" s="4" t="n"/>
      <c r="M236" s="5" t="n"/>
      <c r="N236" s="5" t="n"/>
      <c r="O236" s="4" t="n"/>
      <c r="P236" s="5" t="n"/>
      <c r="Q236" s="4" t="n"/>
    </row>
    <row r="237">
      <c r="B237" s="4" t="n"/>
      <c r="C237" s="4" t="n"/>
      <c r="D237" s="4" t="n"/>
      <c r="E237" s="4" t="n"/>
      <c r="F237" s="5" t="n"/>
      <c r="G237" s="5" t="n"/>
      <c r="H237" s="4" t="n"/>
      <c r="I237" s="4" t="n"/>
      <c r="J237" s="4" t="n"/>
      <c r="K237" s="5" t="n"/>
      <c r="L237" s="4" t="n"/>
      <c r="M237" s="5" t="n"/>
      <c r="N237" s="5" t="n"/>
      <c r="O237" s="4" t="n"/>
      <c r="P237" s="5" t="n"/>
      <c r="Q237" s="4" t="n"/>
    </row>
    <row r="238">
      <c r="B238" s="4" t="n"/>
      <c r="C238" s="4" t="n"/>
      <c r="D238" s="4" t="n"/>
      <c r="E238" s="4" t="n"/>
      <c r="F238" s="5" t="n"/>
      <c r="G238" s="5" t="n"/>
      <c r="H238" s="4" t="n"/>
      <c r="I238" s="4" t="n"/>
      <c r="J238" s="4" t="n"/>
      <c r="K238" s="5" t="n"/>
      <c r="L238" s="4" t="n"/>
      <c r="M238" s="5" t="n"/>
      <c r="N238" s="5" t="n"/>
      <c r="O238" s="4" t="n"/>
      <c r="P238" s="5" t="n"/>
      <c r="Q238" s="4" t="n"/>
    </row>
    <row r="239">
      <c r="B239" s="4" t="n"/>
      <c r="C239" s="4" t="n"/>
      <c r="D239" s="4" t="n"/>
      <c r="E239" s="4" t="n"/>
      <c r="F239" s="5" t="n"/>
      <c r="G239" s="5" t="n"/>
      <c r="H239" s="4" t="n"/>
      <c r="I239" s="4" t="n"/>
      <c r="J239" s="4" t="n"/>
      <c r="K239" s="5" t="n"/>
      <c r="L239" s="4" t="n"/>
      <c r="M239" s="5" t="n"/>
      <c r="N239" s="5" t="n"/>
      <c r="O239" s="4" t="n"/>
      <c r="P239" s="5" t="n"/>
      <c r="Q239" s="4" t="n"/>
    </row>
    <row r="240">
      <c r="B240" s="4" t="n"/>
      <c r="C240" s="4" t="n"/>
      <c r="D240" s="4" t="n"/>
      <c r="E240" s="4" t="n"/>
      <c r="F240" s="5" t="n"/>
      <c r="G240" s="5" t="n"/>
      <c r="H240" s="4" t="n"/>
      <c r="I240" s="4" t="n"/>
      <c r="J240" s="4" t="n"/>
      <c r="K240" s="5" t="n"/>
      <c r="L240" s="4" t="n"/>
      <c r="M240" s="5" t="n"/>
      <c r="N240" s="5" t="n"/>
      <c r="O240" s="4" t="n"/>
      <c r="P240" s="5" t="n"/>
      <c r="Q240" s="4" t="n"/>
    </row>
    <row r="241">
      <c r="B241" s="4" t="n"/>
      <c r="C241" s="4" t="n"/>
      <c r="D241" s="4" t="n"/>
      <c r="E241" s="4" t="n"/>
      <c r="F241" s="5" t="n"/>
      <c r="G241" s="5" t="n"/>
      <c r="H241" s="4" t="n"/>
      <c r="I241" s="4" t="n"/>
      <c r="J241" s="4" t="n"/>
      <c r="K241" s="5" t="n"/>
      <c r="L241" s="4" t="n"/>
      <c r="M241" s="5" t="n"/>
      <c r="N241" s="5" t="n"/>
      <c r="O241" s="4" t="n"/>
      <c r="P241" s="5" t="n"/>
      <c r="Q241" s="4" t="n"/>
    </row>
    <row r="242">
      <c r="B242" s="4" t="n"/>
      <c r="C242" s="4" t="n"/>
      <c r="D242" s="4" t="n"/>
      <c r="E242" s="4" t="n"/>
      <c r="F242" s="5" t="n"/>
      <c r="G242" s="5" t="n"/>
      <c r="H242" s="4" t="n"/>
      <c r="I242" s="4" t="n"/>
      <c r="J242" s="4" t="n"/>
      <c r="K242" s="5" t="n"/>
      <c r="L242" s="4" t="n"/>
      <c r="M242" s="5" t="n"/>
      <c r="N242" s="5" t="n"/>
      <c r="O242" s="4" t="n"/>
      <c r="P242" s="5" t="n"/>
      <c r="Q242" s="4" t="n"/>
    </row>
    <row r="243">
      <c r="B243" s="4" t="n"/>
      <c r="C243" s="4" t="n"/>
      <c r="D243" s="4" t="n"/>
      <c r="E243" s="4" t="n"/>
      <c r="F243" s="5" t="n"/>
      <c r="G243" s="5" t="n"/>
      <c r="H243" s="4" t="n"/>
      <c r="I243" s="4" t="n"/>
      <c r="J243" s="4" t="n"/>
      <c r="K243" s="5" t="n"/>
      <c r="L243" s="4" t="n"/>
      <c r="M243" s="5" t="n"/>
      <c r="N243" s="5" t="n"/>
      <c r="O243" s="4" t="n"/>
      <c r="P243" s="5" t="n"/>
      <c r="Q243" s="4" t="n"/>
    </row>
    <row r="244">
      <c r="B244" s="4" t="n"/>
      <c r="C244" s="4" t="n"/>
      <c r="D244" s="4" t="n"/>
      <c r="E244" s="4" t="n"/>
      <c r="F244" s="5" t="n"/>
      <c r="G244" s="5" t="n"/>
      <c r="H244" s="4" t="n"/>
      <c r="I244" s="4" t="n"/>
      <c r="J244" s="4" t="n"/>
      <c r="K244" s="5" t="n"/>
      <c r="L244" s="4" t="n"/>
      <c r="M244" s="5" t="n"/>
      <c r="N244" s="5" t="n"/>
      <c r="O244" s="4" t="n"/>
      <c r="P244" s="5" t="n"/>
      <c r="Q244" s="4" t="n"/>
    </row>
    <row r="245">
      <c r="B245" s="4" t="n"/>
      <c r="C245" s="4" t="n"/>
      <c r="D245" s="4" t="n"/>
      <c r="E245" s="4" t="n"/>
      <c r="F245" s="5" t="n"/>
      <c r="G245" s="5" t="n"/>
      <c r="H245" s="4" t="n"/>
      <c r="I245" s="4" t="n"/>
      <c r="J245" s="4" t="n"/>
      <c r="K245" s="5" t="n"/>
      <c r="L245" s="4" t="n"/>
      <c r="M245" s="5" t="n"/>
      <c r="N245" s="5" t="n"/>
      <c r="O245" s="4" t="n"/>
      <c r="P245" s="5" t="n"/>
      <c r="Q245" s="4" t="n"/>
    </row>
    <row r="246">
      <c r="B246" s="4" t="n"/>
      <c r="C246" s="4" t="n"/>
      <c r="D246" s="4" t="n"/>
      <c r="E246" s="4" t="n"/>
      <c r="F246" s="5" t="n"/>
      <c r="G246" s="5" t="n"/>
      <c r="H246" s="4" t="n"/>
      <c r="I246" s="4" t="n"/>
      <c r="J246" s="4" t="n"/>
      <c r="K246" s="5" t="n"/>
      <c r="L246" s="4" t="n"/>
      <c r="M246" s="5" t="n"/>
      <c r="N246" s="5" t="n"/>
      <c r="O246" s="4" t="n"/>
      <c r="P246" s="5" t="n"/>
      <c r="Q246" s="4" t="n"/>
    </row>
    <row r="247">
      <c r="B247" s="4" t="n"/>
      <c r="C247" s="4" t="n"/>
      <c r="D247" s="4" t="n"/>
      <c r="E247" s="4" t="n"/>
      <c r="F247" s="5" t="n"/>
      <c r="G247" s="5" t="n"/>
      <c r="H247" s="4" t="n"/>
      <c r="I247" s="4" t="n"/>
      <c r="J247" s="4" t="n"/>
      <c r="K247" s="5" t="n"/>
      <c r="L247" s="4" t="n"/>
      <c r="M247" s="5" t="n"/>
      <c r="N247" s="5" t="n"/>
      <c r="O247" s="4" t="n"/>
      <c r="P247" s="5" t="n"/>
      <c r="Q247" s="4" t="n"/>
    </row>
    <row r="248">
      <c r="B248" s="4" t="n"/>
      <c r="C248" s="4" t="n"/>
      <c r="D248" s="4" t="n"/>
      <c r="E248" s="4" t="n"/>
      <c r="F248" s="5" t="n"/>
      <c r="G248" s="5" t="n"/>
      <c r="H248" s="4" t="n"/>
      <c r="I248" s="4" t="n"/>
      <c r="J248" s="4" t="n"/>
      <c r="K248" s="5" t="n"/>
      <c r="L248" s="4" t="n"/>
      <c r="M248" s="5" t="n"/>
      <c r="N248" s="5" t="n"/>
      <c r="O248" s="4" t="n"/>
      <c r="P248" s="5" t="n"/>
      <c r="Q248" s="4" t="n"/>
    </row>
    <row r="249">
      <c r="B249" s="4" t="n"/>
      <c r="C249" s="4" t="n"/>
      <c r="D249" s="4" t="n"/>
      <c r="E249" s="4" t="n"/>
      <c r="F249" s="5" t="n"/>
      <c r="G249" s="5" t="n"/>
      <c r="H249" s="4" t="n"/>
      <c r="I249" s="4" t="n"/>
      <c r="J249" s="4" t="n"/>
      <c r="K249" s="5" t="n"/>
      <c r="L249" s="4" t="n"/>
      <c r="M249" s="5" t="n"/>
      <c r="N249" s="5" t="n"/>
      <c r="O249" s="4" t="n"/>
      <c r="P249" s="5" t="n"/>
      <c r="Q249" s="4" t="n"/>
    </row>
    <row r="250">
      <c r="B250" s="4" t="n"/>
      <c r="C250" s="4" t="n"/>
      <c r="D250" s="4" t="n"/>
      <c r="E250" s="4" t="n"/>
      <c r="F250" s="5" t="n"/>
      <c r="G250" s="5" t="n"/>
      <c r="H250" s="4" t="n"/>
      <c r="I250" s="4" t="n"/>
      <c r="J250" s="4" t="n"/>
      <c r="K250" s="5" t="n"/>
      <c r="L250" s="4" t="n"/>
      <c r="M250" s="5" t="n"/>
      <c r="N250" s="5" t="n"/>
      <c r="O250" s="4" t="n"/>
      <c r="P250" s="5" t="n"/>
      <c r="Q250" s="4" t="n"/>
    </row>
    <row r="251">
      <c r="B251" s="4" t="n"/>
      <c r="C251" s="4" t="n"/>
      <c r="D251" s="4" t="n"/>
      <c r="E251" s="4" t="n"/>
      <c r="F251" s="5" t="n"/>
      <c r="G251" s="5" t="n"/>
      <c r="H251" s="4" t="n"/>
      <c r="I251" s="4" t="n"/>
      <c r="J251" s="4" t="n"/>
      <c r="K251" s="5" t="n"/>
      <c r="L251" s="4" t="n"/>
      <c r="M251" s="5" t="n"/>
      <c r="N251" s="5" t="n"/>
      <c r="O251" s="4" t="n"/>
      <c r="P251" s="5" t="n"/>
      <c r="Q251" s="4" t="n"/>
    </row>
    <row r="252">
      <c r="B252" s="4" t="n"/>
      <c r="C252" s="4" t="n"/>
      <c r="D252" s="4" t="n"/>
      <c r="E252" s="4" t="n"/>
      <c r="F252" s="5" t="n"/>
      <c r="G252" s="5" t="n"/>
      <c r="H252" s="4" t="n"/>
      <c r="I252" s="4" t="n"/>
      <c r="J252" s="4" t="n"/>
      <c r="K252" s="5" t="n"/>
      <c r="L252" s="4" t="n"/>
      <c r="M252" s="5" t="n"/>
      <c r="N252" s="5" t="n"/>
      <c r="O252" s="4" t="n"/>
      <c r="P252" s="5" t="n"/>
      <c r="Q252" s="4" t="n"/>
    </row>
    <row r="253">
      <c r="B253" s="4" t="n"/>
      <c r="C253" s="4" t="n"/>
      <c r="D253" s="4" t="n"/>
      <c r="E253" s="4" t="n"/>
      <c r="F253" s="5" t="n"/>
      <c r="G253" s="5" t="n"/>
      <c r="H253" s="4" t="n"/>
      <c r="I253" s="4" t="n"/>
      <c r="J253" s="4" t="n"/>
      <c r="K253" s="5" t="n"/>
      <c r="L253" s="4" t="n"/>
      <c r="M253" s="5" t="n"/>
      <c r="N253" s="5" t="n"/>
      <c r="O253" s="4" t="n"/>
      <c r="P253" s="5" t="n"/>
      <c r="Q253" s="4" t="n"/>
    </row>
    <row r="254">
      <c r="B254" s="4" t="n"/>
      <c r="C254" s="4" t="n"/>
      <c r="D254" s="4" t="n"/>
      <c r="E254" s="4" t="n"/>
      <c r="F254" s="5" t="n"/>
      <c r="G254" s="5" t="n"/>
      <c r="H254" s="4" t="n"/>
      <c r="I254" s="4" t="n"/>
      <c r="J254" s="4" t="n"/>
      <c r="K254" s="5" t="n"/>
      <c r="L254" s="4" t="n"/>
      <c r="M254" s="5" t="n"/>
      <c r="N254" s="5" t="n"/>
      <c r="O254" s="4" t="n"/>
      <c r="P254" s="5" t="n"/>
      <c r="Q254" s="4" t="n"/>
    </row>
    <row r="255">
      <c r="B255" s="4" t="n"/>
      <c r="C255" s="4" t="n"/>
      <c r="D255" s="4" t="n"/>
      <c r="E255" s="4" t="n"/>
      <c r="F255" s="5" t="n"/>
      <c r="G255" s="5" t="n"/>
      <c r="H255" s="4" t="n"/>
      <c r="I255" s="4" t="n"/>
      <c r="J255" s="4" t="n"/>
      <c r="K255" s="5" t="n"/>
      <c r="L255" s="4" t="n"/>
      <c r="M255" s="5" t="n"/>
      <c r="N255" s="5" t="n"/>
      <c r="O255" s="4" t="n"/>
      <c r="P255" s="5" t="n"/>
      <c r="Q255" s="4" t="n"/>
    </row>
    <row r="256">
      <c r="B256" s="4" t="n"/>
      <c r="C256" s="4" t="n"/>
      <c r="D256" s="4" t="n"/>
      <c r="E256" s="4" t="n"/>
      <c r="F256" s="5" t="n"/>
      <c r="G256" s="5" t="n"/>
      <c r="H256" s="4" t="n"/>
      <c r="I256" s="4" t="n"/>
      <c r="J256" s="4" t="n"/>
      <c r="K256" s="5" t="n"/>
      <c r="L256" s="4" t="n"/>
      <c r="M256" s="5" t="n"/>
      <c r="N256" s="5" t="n"/>
      <c r="O256" s="4" t="n"/>
      <c r="P256" s="5" t="n"/>
      <c r="Q256" s="4" t="n"/>
    </row>
    <row r="257">
      <c r="B257" s="4" t="n"/>
      <c r="C257" s="4" t="n"/>
      <c r="D257" s="4" t="n"/>
      <c r="E257" s="4" t="n"/>
      <c r="F257" s="5" t="n"/>
      <c r="G257" s="5" t="n"/>
      <c r="H257" s="4" t="n"/>
      <c r="I257" s="4" t="n"/>
      <c r="J257" s="4" t="n"/>
      <c r="K257" s="5" t="n"/>
      <c r="L257" s="4" t="n"/>
      <c r="M257" s="5" t="n"/>
      <c r="N257" s="5" t="n"/>
      <c r="O257" s="4" t="n"/>
      <c r="P257" s="5" t="n"/>
      <c r="Q257" s="4" t="n"/>
    </row>
    <row r="258">
      <c r="B258" s="4" t="n"/>
      <c r="C258" s="4" t="n"/>
      <c r="D258" s="4" t="n"/>
      <c r="E258" s="4" t="n"/>
      <c r="F258" s="5" t="n"/>
      <c r="G258" s="5" t="n"/>
      <c r="H258" s="4" t="n"/>
      <c r="I258" s="4" t="n"/>
      <c r="J258" s="4" t="n"/>
      <c r="K258" s="5" t="n"/>
      <c r="L258" s="4" t="n"/>
      <c r="M258" s="5" t="n"/>
      <c r="N258" s="5" t="n"/>
      <c r="O258" s="4" t="n"/>
      <c r="P258" s="5" t="n"/>
      <c r="Q258" s="4" t="n"/>
    </row>
    <row r="259">
      <c r="B259" s="4" t="n"/>
      <c r="C259" s="4" t="n"/>
      <c r="D259" s="4" t="n"/>
      <c r="E259" s="4" t="n"/>
      <c r="F259" s="5" t="n"/>
      <c r="G259" s="5" t="n"/>
      <c r="H259" s="4" t="n"/>
      <c r="I259" s="4" t="n"/>
      <c r="J259" s="4" t="n"/>
      <c r="K259" s="5" t="n"/>
      <c r="L259" s="4" t="n"/>
      <c r="M259" s="5" t="n"/>
      <c r="N259" s="5" t="n"/>
      <c r="O259" s="4" t="n"/>
      <c r="P259" s="5" t="n"/>
      <c r="Q259" s="4" t="n"/>
    </row>
    <row r="260">
      <c r="B260" s="4" t="n"/>
      <c r="C260" s="4" t="n"/>
      <c r="D260" s="4" t="n"/>
      <c r="E260" s="4" t="n"/>
      <c r="F260" s="5" t="n"/>
      <c r="G260" s="5" t="n"/>
      <c r="H260" s="4" t="n"/>
      <c r="I260" s="4" t="n"/>
      <c r="J260" s="4" t="n"/>
      <c r="K260" s="5" t="n"/>
      <c r="L260" s="4" t="n"/>
      <c r="M260" s="5" t="n"/>
      <c r="N260" s="5" t="n"/>
      <c r="O260" s="4" t="n"/>
      <c r="P260" s="5" t="n"/>
      <c r="Q260" s="4" t="n"/>
    </row>
    <row r="261">
      <c r="B261" s="4" t="n"/>
      <c r="C261" s="4" t="n"/>
      <c r="D261" s="4" t="n"/>
      <c r="E261" s="4" t="n"/>
      <c r="F261" s="5" t="n"/>
      <c r="G261" s="5" t="n"/>
      <c r="H261" s="4" t="n"/>
      <c r="I261" s="4" t="n"/>
      <c r="J261" s="4" t="n"/>
      <c r="K261" s="5" t="n"/>
      <c r="L261" s="4" t="n"/>
      <c r="M261" s="5" t="n"/>
      <c r="N261" s="5" t="n"/>
      <c r="O261" s="4" t="n"/>
      <c r="P261" s="5" t="n"/>
      <c r="Q261" s="4" t="n"/>
    </row>
    <row r="262">
      <c r="B262" s="4" t="n"/>
      <c r="C262" s="4" t="n"/>
      <c r="D262" s="4" t="n"/>
      <c r="E262" s="4" t="n"/>
      <c r="F262" s="5" t="n"/>
      <c r="G262" s="5" t="n"/>
      <c r="H262" s="4" t="n"/>
      <c r="I262" s="4" t="n"/>
      <c r="J262" s="4" t="n"/>
      <c r="K262" s="5" t="n"/>
      <c r="L262" s="4" t="n"/>
      <c r="M262" s="5" t="n"/>
      <c r="N262" s="5" t="n"/>
      <c r="O262" s="4" t="n"/>
      <c r="P262" s="5" t="n"/>
      <c r="Q262" s="4" t="n"/>
    </row>
    <row r="263">
      <c r="B263" s="4" t="n"/>
      <c r="C263" s="4" t="n"/>
      <c r="D263" s="4" t="n"/>
      <c r="E263" s="4" t="n"/>
      <c r="F263" s="5" t="n"/>
      <c r="G263" s="5" t="n"/>
      <c r="H263" s="4" t="n"/>
      <c r="I263" s="4" t="n"/>
      <c r="J263" s="4" t="n"/>
      <c r="K263" s="5" t="n"/>
      <c r="L263" s="4" t="n"/>
      <c r="M263" s="5" t="n"/>
      <c r="N263" s="5" t="n"/>
      <c r="O263" s="4" t="n"/>
      <c r="P263" s="5" t="n"/>
      <c r="Q263" s="4" t="n"/>
    </row>
    <row r="264">
      <c r="B264" s="4" t="n"/>
      <c r="C264" s="4" t="n"/>
      <c r="D264" s="4" t="n"/>
      <c r="E264" s="4" t="n"/>
      <c r="F264" s="5" t="n"/>
      <c r="G264" s="5" t="n"/>
      <c r="H264" s="4" t="n"/>
      <c r="I264" s="4" t="n"/>
      <c r="J264" s="4" t="n"/>
      <c r="K264" s="5" t="n"/>
      <c r="L264" s="4" t="n"/>
      <c r="M264" s="5" t="n"/>
      <c r="N264" s="5" t="n"/>
      <c r="O264" s="4" t="n"/>
      <c r="P264" s="5" t="n"/>
      <c r="Q264" s="4" t="n"/>
    </row>
    <row r="265">
      <c r="B265" s="4" t="n"/>
      <c r="C265" s="4" t="n"/>
      <c r="D265" s="4" t="n"/>
      <c r="E265" s="4" t="n"/>
      <c r="F265" s="5" t="n"/>
      <c r="G265" s="5" t="n"/>
      <c r="H265" s="4" t="n"/>
      <c r="I265" s="4" t="n"/>
      <c r="J265" s="4" t="n"/>
      <c r="K265" s="5" t="n"/>
      <c r="L265" s="4" t="n"/>
      <c r="M265" s="5" t="n"/>
      <c r="N265" s="5" t="n"/>
      <c r="O265" s="4" t="n"/>
      <c r="P265" s="5" t="n"/>
      <c r="Q265" s="4" t="n"/>
    </row>
    <row r="266">
      <c r="B266" s="4" t="n"/>
      <c r="C266" s="4" t="n"/>
      <c r="D266" s="4" t="n"/>
      <c r="E266" s="4" t="n"/>
      <c r="F266" s="5" t="n"/>
      <c r="G266" s="5" t="n"/>
      <c r="H266" s="4" t="n"/>
      <c r="I266" s="4" t="n"/>
      <c r="J266" s="4" t="n"/>
      <c r="K266" s="5" t="n"/>
      <c r="L266" s="4" t="n"/>
      <c r="M266" s="5" t="n"/>
      <c r="N266" s="5" t="n"/>
      <c r="O266" s="4" t="n"/>
      <c r="P266" s="5" t="n"/>
      <c r="Q266" s="4" t="n"/>
    </row>
    <row r="267">
      <c r="B267" s="4" t="n"/>
      <c r="C267" s="4" t="n"/>
      <c r="D267" s="4" t="n"/>
      <c r="E267" s="4" t="n"/>
      <c r="F267" s="5" t="n"/>
      <c r="G267" s="5" t="n"/>
      <c r="H267" s="4" t="n"/>
      <c r="I267" s="4" t="n"/>
      <c r="J267" s="4" t="n"/>
      <c r="K267" s="5" t="n"/>
      <c r="L267" s="4" t="n"/>
      <c r="M267" s="5" t="n"/>
      <c r="N267" s="5" t="n"/>
      <c r="O267" s="4" t="n"/>
      <c r="P267" s="5" t="n"/>
      <c r="Q267" s="4" t="n"/>
    </row>
    <row r="268">
      <c r="B268" s="4" t="n"/>
      <c r="C268" s="4" t="n"/>
      <c r="D268" s="4" t="n"/>
      <c r="E268" s="4" t="n"/>
      <c r="F268" s="5" t="n"/>
      <c r="G268" s="5" t="n"/>
      <c r="H268" s="4" t="n"/>
      <c r="I268" s="4" t="n"/>
      <c r="J268" s="4" t="n"/>
      <c r="K268" s="5" t="n"/>
      <c r="L268" s="4" t="n"/>
      <c r="M268" s="5" t="n"/>
      <c r="N268" s="5" t="n"/>
      <c r="O268" s="4" t="n"/>
      <c r="P268" s="5" t="n"/>
      <c r="Q268" s="4" t="n"/>
    </row>
    <row r="269">
      <c r="B269" s="4" t="n"/>
      <c r="C269" s="4" t="n"/>
      <c r="D269" s="4" t="n"/>
      <c r="E269" s="4" t="n"/>
      <c r="F269" s="5" t="n"/>
      <c r="G269" s="5" t="n"/>
      <c r="H269" s="4" t="n"/>
      <c r="I269" s="4" t="n"/>
      <c r="J269" s="4" t="n"/>
      <c r="K269" s="5" t="n"/>
      <c r="L269" s="4" t="n"/>
      <c r="M269" s="5" t="n"/>
      <c r="N269" s="5" t="n"/>
      <c r="O269" s="4" t="n"/>
      <c r="P269" s="5" t="n"/>
      <c r="Q269" s="4" t="n"/>
    </row>
    <row r="270">
      <c r="B270" s="4" t="n"/>
      <c r="C270" s="4" t="n"/>
      <c r="D270" s="4" t="n"/>
      <c r="E270" s="4" t="n"/>
      <c r="F270" s="5" t="n"/>
      <c r="G270" s="5" t="n"/>
      <c r="H270" s="4" t="n"/>
      <c r="I270" s="4" t="n"/>
      <c r="J270" s="4" t="n"/>
      <c r="K270" s="5" t="n"/>
      <c r="L270" s="4" t="n"/>
      <c r="M270" s="5" t="n"/>
      <c r="N270" s="5" t="n"/>
      <c r="O270" s="4" t="n"/>
      <c r="P270" s="5" t="n"/>
      <c r="Q270" s="4" t="n"/>
    </row>
    <row r="271">
      <c r="B271" s="4" t="n"/>
      <c r="C271" s="4" t="n"/>
      <c r="D271" s="4" t="n"/>
      <c r="E271" s="4" t="n"/>
      <c r="F271" s="5" t="n"/>
      <c r="G271" s="5" t="n"/>
      <c r="H271" s="4" t="n"/>
      <c r="I271" s="4" t="n"/>
      <c r="J271" s="4" t="n"/>
      <c r="K271" s="5" t="n"/>
      <c r="L271" s="4" t="n"/>
      <c r="M271" s="5" t="n"/>
      <c r="N271" s="5" t="n"/>
      <c r="O271" s="4" t="n"/>
      <c r="P271" s="5" t="n"/>
      <c r="Q271" s="4" t="n"/>
    </row>
    <row r="272">
      <c r="B272" s="4" t="n"/>
      <c r="C272" s="4" t="n"/>
      <c r="D272" s="4" t="n"/>
      <c r="E272" s="4" t="n"/>
      <c r="F272" s="5" t="n"/>
      <c r="G272" s="5" t="n"/>
      <c r="H272" s="4" t="n"/>
      <c r="I272" s="4" t="n"/>
      <c r="J272" s="4" t="n"/>
      <c r="K272" s="5" t="n"/>
      <c r="L272" s="4" t="n"/>
      <c r="M272" s="5" t="n"/>
      <c r="N272" s="5" t="n"/>
      <c r="O272" s="4" t="n"/>
      <c r="P272" s="5" t="n"/>
      <c r="Q272" s="4" t="n"/>
    </row>
    <row r="273">
      <c r="B273" s="4" t="n"/>
      <c r="C273" s="4" t="n"/>
      <c r="D273" s="4" t="n"/>
      <c r="E273" s="4" t="n"/>
      <c r="F273" s="5" t="n"/>
      <c r="G273" s="5" t="n"/>
      <c r="H273" s="4" t="n"/>
      <c r="I273" s="4" t="n"/>
      <c r="J273" s="4" t="n"/>
      <c r="K273" s="5" t="n"/>
      <c r="L273" s="4" t="n"/>
      <c r="M273" s="5" t="n"/>
      <c r="N273" s="5" t="n"/>
      <c r="O273" s="4" t="n"/>
      <c r="P273" s="5" t="n"/>
      <c r="Q273" s="4" t="n"/>
    </row>
    <row r="274">
      <c r="B274" s="4" t="n"/>
      <c r="C274" s="4" t="n"/>
      <c r="D274" s="4" t="n"/>
      <c r="E274" s="4" t="n"/>
      <c r="F274" s="5" t="n"/>
      <c r="G274" s="5" t="n"/>
      <c r="H274" s="4" t="n"/>
      <c r="I274" s="4" t="n"/>
      <c r="J274" s="4" t="n"/>
      <c r="K274" s="5" t="n"/>
      <c r="L274" s="4" t="n"/>
      <c r="M274" s="5" t="n"/>
      <c r="N274" s="5" t="n"/>
      <c r="O274" s="4" t="n"/>
      <c r="P274" s="5" t="n"/>
      <c r="Q274" s="4" t="n"/>
    </row>
    <row r="275">
      <c r="B275" s="4" t="n"/>
      <c r="C275" s="4" t="n"/>
      <c r="D275" s="4" t="n"/>
      <c r="E275" s="4" t="n"/>
      <c r="F275" s="5" t="n"/>
      <c r="G275" s="5" t="n"/>
      <c r="H275" s="4" t="n"/>
      <c r="I275" s="4" t="n"/>
      <c r="J275" s="4" t="n"/>
      <c r="K275" s="5" t="n"/>
      <c r="L275" s="4" t="n"/>
      <c r="M275" s="5" t="n"/>
      <c r="N275" s="5" t="n"/>
      <c r="O275" s="4" t="n"/>
      <c r="P275" s="5" t="n"/>
      <c r="Q275" s="4" t="n"/>
    </row>
    <row r="276">
      <c r="B276" s="4" t="n"/>
      <c r="C276" s="4" t="n"/>
      <c r="D276" s="4" t="n"/>
      <c r="E276" s="4" t="n"/>
      <c r="F276" s="5" t="n"/>
      <c r="G276" s="5" t="n"/>
      <c r="H276" s="4" t="n"/>
      <c r="I276" s="4" t="n"/>
      <c r="J276" s="4" t="n"/>
      <c r="K276" s="5" t="n"/>
      <c r="L276" s="4" t="n"/>
      <c r="M276" s="5" t="n"/>
      <c r="N276" s="5" t="n"/>
      <c r="O276" s="4" t="n"/>
      <c r="P276" s="5" t="n"/>
      <c r="Q276" s="4" t="n"/>
    </row>
    <row r="277">
      <c r="B277" s="4" t="n"/>
      <c r="C277" s="4" t="n"/>
      <c r="D277" s="4" t="n"/>
      <c r="E277" s="4" t="n"/>
      <c r="F277" s="5" t="n"/>
      <c r="G277" s="5" t="n"/>
      <c r="H277" s="4" t="n"/>
      <c r="I277" s="4" t="n"/>
      <c r="J277" s="4" t="n"/>
      <c r="K277" s="5" t="n"/>
      <c r="L277" s="4" t="n"/>
      <c r="M277" s="5" t="n"/>
      <c r="N277" s="5" t="n"/>
      <c r="O277" s="4" t="n"/>
      <c r="P277" s="5" t="n"/>
      <c r="Q277" s="4" t="n"/>
    </row>
    <row r="278">
      <c r="B278" s="4" t="n"/>
      <c r="C278" s="4" t="n"/>
      <c r="D278" s="4" t="n"/>
      <c r="E278" s="4" t="n"/>
      <c r="F278" s="5" t="n"/>
      <c r="G278" s="5" t="n"/>
      <c r="H278" s="4" t="n"/>
      <c r="I278" s="4" t="n"/>
      <c r="J278" s="4" t="n"/>
      <c r="K278" s="5" t="n"/>
      <c r="L278" s="4" t="n"/>
      <c r="M278" s="5" t="n"/>
      <c r="N278" s="5" t="n"/>
      <c r="O278" s="4" t="n"/>
      <c r="P278" s="5" t="n"/>
      <c r="Q278" s="4" t="n"/>
    </row>
    <row r="279">
      <c r="B279" s="4" t="n"/>
      <c r="C279" s="4" t="n"/>
      <c r="D279" s="4" t="n"/>
      <c r="E279" s="4" t="n"/>
      <c r="F279" s="5" t="n"/>
      <c r="G279" s="5" t="n"/>
      <c r="H279" s="4" t="n"/>
      <c r="I279" s="4" t="n"/>
      <c r="J279" s="4" t="n"/>
      <c r="K279" s="5" t="n"/>
      <c r="L279" s="4" t="n"/>
      <c r="M279" s="5" t="n"/>
      <c r="N279" s="5" t="n"/>
      <c r="O279" s="4" t="n"/>
      <c r="P279" s="5" t="n"/>
      <c r="Q279" s="4" t="n"/>
    </row>
    <row r="280">
      <c r="B280" s="4" t="n"/>
      <c r="C280" s="4" t="n"/>
      <c r="D280" s="4" t="n"/>
      <c r="E280" s="4" t="n"/>
      <c r="F280" s="5" t="n"/>
      <c r="G280" s="5" t="n"/>
      <c r="H280" s="4" t="n"/>
      <c r="I280" s="4" t="n"/>
      <c r="J280" s="4" t="n"/>
      <c r="K280" s="5" t="n"/>
      <c r="L280" s="4" t="n"/>
      <c r="M280" s="5" t="n"/>
      <c r="N280" s="5" t="n"/>
      <c r="O280" s="4" t="n"/>
      <c r="P280" s="5" t="n"/>
      <c r="Q280" s="4" t="n"/>
    </row>
    <row r="281">
      <c r="B281" s="4" t="n"/>
      <c r="C281" s="4" t="n"/>
      <c r="D281" s="4" t="n"/>
      <c r="E281" s="4" t="n"/>
      <c r="F281" s="5" t="n"/>
      <c r="G281" s="5" t="n"/>
      <c r="H281" s="4" t="n"/>
      <c r="I281" s="4" t="n"/>
      <c r="J281" s="4" t="n"/>
      <c r="K281" s="5" t="n"/>
      <c r="L281" s="4" t="n"/>
      <c r="M281" s="5" t="n"/>
      <c r="N281" s="5" t="n"/>
      <c r="O281" s="4" t="n"/>
      <c r="P281" s="5" t="n"/>
      <c r="Q281" s="4" t="n"/>
    </row>
    <row r="282">
      <c r="B282" s="4" t="n"/>
      <c r="C282" s="4" t="n"/>
      <c r="D282" s="4" t="n"/>
      <c r="E282" s="4" t="n"/>
      <c r="F282" s="5" t="n"/>
      <c r="G282" s="5" t="n"/>
      <c r="H282" s="4" t="n"/>
      <c r="I282" s="4" t="n"/>
      <c r="J282" s="4" t="n"/>
      <c r="K282" s="5" t="n"/>
      <c r="L282" s="4" t="n"/>
      <c r="M282" s="5" t="n"/>
      <c r="N282" s="5" t="n"/>
      <c r="O282" s="4" t="n"/>
      <c r="P282" s="5" t="n"/>
      <c r="Q282" s="4" t="n"/>
    </row>
    <row r="283">
      <c r="B283" s="4" t="n"/>
      <c r="C283" s="4" t="n"/>
      <c r="D283" s="4" t="n"/>
      <c r="E283" s="4" t="n"/>
      <c r="F283" s="5" t="n"/>
      <c r="G283" s="5" t="n"/>
      <c r="H283" s="4" t="n"/>
      <c r="I283" s="4" t="n"/>
      <c r="J283" s="4" t="n"/>
      <c r="K283" s="5" t="n"/>
      <c r="L283" s="4" t="n"/>
      <c r="M283" s="5" t="n"/>
      <c r="N283" s="5" t="n"/>
      <c r="O283" s="4" t="n"/>
      <c r="P283" s="5" t="n"/>
      <c r="Q283" s="4" t="n"/>
    </row>
    <row r="284">
      <c r="B284" s="4" t="n"/>
      <c r="C284" s="4" t="n"/>
      <c r="D284" s="4" t="n"/>
      <c r="E284" s="4" t="n"/>
      <c r="F284" s="5" t="n"/>
      <c r="G284" s="5" t="n"/>
      <c r="H284" s="4" t="n"/>
      <c r="I284" s="4" t="n"/>
      <c r="J284" s="4" t="n"/>
      <c r="K284" s="5" t="n"/>
      <c r="L284" s="4" t="n"/>
      <c r="M284" s="5" t="n"/>
      <c r="N284" s="5" t="n"/>
      <c r="O284" s="4" t="n"/>
      <c r="P284" s="5" t="n"/>
      <c r="Q284" s="4" t="n"/>
    </row>
    <row r="285">
      <c r="B285" s="4" t="n"/>
      <c r="C285" s="4" t="n"/>
      <c r="D285" s="4" t="n"/>
      <c r="E285" s="4" t="n"/>
      <c r="F285" s="5" t="n"/>
      <c r="G285" s="5" t="n"/>
      <c r="H285" s="4" t="n"/>
      <c r="I285" s="4" t="n"/>
      <c r="J285" s="4" t="n"/>
      <c r="K285" s="5" t="n"/>
      <c r="L285" s="4" t="n"/>
      <c r="M285" s="5" t="n"/>
      <c r="N285" s="5" t="n"/>
      <c r="O285" s="4" t="n"/>
      <c r="P285" s="5" t="n"/>
      <c r="Q285" s="4" t="n"/>
    </row>
    <row r="286">
      <c r="B286" s="4" t="n"/>
      <c r="C286" s="4" t="n"/>
      <c r="D286" s="4" t="n"/>
      <c r="E286" s="4" t="n"/>
      <c r="F286" s="5" t="n"/>
      <c r="G286" s="5" t="n"/>
      <c r="H286" s="4" t="n"/>
      <c r="I286" s="4" t="n"/>
      <c r="J286" s="4" t="n"/>
      <c r="K286" s="5" t="n"/>
      <c r="L286" s="4" t="n"/>
      <c r="M286" s="5" t="n"/>
      <c r="N286" s="5" t="n"/>
      <c r="O286" s="4" t="n"/>
      <c r="P286" s="5" t="n"/>
      <c r="Q286" s="4" t="n"/>
    </row>
    <row r="287">
      <c r="B287" s="4" t="n"/>
      <c r="C287" s="4" t="n"/>
      <c r="D287" s="4" t="n"/>
      <c r="E287" s="4" t="n"/>
      <c r="F287" s="5" t="n"/>
      <c r="G287" s="5" t="n"/>
      <c r="H287" s="4" t="n"/>
      <c r="I287" s="4" t="n"/>
      <c r="J287" s="4" t="n"/>
      <c r="K287" s="5" t="n"/>
      <c r="L287" s="4" t="n"/>
      <c r="M287" s="5" t="n"/>
      <c r="N287" s="5" t="n"/>
      <c r="O287" s="4" t="n"/>
      <c r="P287" s="5" t="n"/>
      <c r="Q287" s="4" t="n"/>
    </row>
    <row r="288">
      <c r="B288" s="4" t="n"/>
      <c r="C288" s="4" t="n"/>
      <c r="D288" s="4" t="n"/>
      <c r="E288" s="4" t="n"/>
      <c r="F288" s="5" t="n"/>
      <c r="G288" s="5" t="n"/>
      <c r="H288" s="4" t="n"/>
      <c r="I288" s="4" t="n"/>
      <c r="J288" s="4" t="n"/>
      <c r="K288" s="5" t="n"/>
      <c r="L288" s="4" t="n"/>
      <c r="M288" s="5" t="n"/>
      <c r="N288" s="5" t="n"/>
      <c r="O288" s="4" t="n"/>
      <c r="P288" s="5" t="n"/>
      <c r="Q288" s="4" t="n"/>
    </row>
    <row r="289">
      <c r="B289" s="4" t="n"/>
      <c r="C289" s="4" t="n"/>
      <c r="D289" s="4" t="n"/>
      <c r="E289" s="4" t="n"/>
      <c r="F289" s="5" t="n"/>
      <c r="G289" s="5" t="n"/>
      <c r="H289" s="4" t="n"/>
      <c r="I289" s="4" t="n"/>
      <c r="J289" s="4" t="n"/>
      <c r="K289" s="5" t="n"/>
      <c r="L289" s="4" t="n"/>
      <c r="M289" s="5" t="n"/>
      <c r="N289" s="5" t="n"/>
      <c r="O289" s="4" t="n"/>
      <c r="P289" s="5" t="n"/>
      <c r="Q289" s="4" t="n"/>
    </row>
    <row r="290">
      <c r="B290" s="4" t="n"/>
      <c r="C290" s="4" t="n"/>
      <c r="D290" s="4" t="n"/>
      <c r="E290" s="4" t="n"/>
      <c r="F290" s="5" t="n"/>
      <c r="G290" s="5" t="n"/>
      <c r="H290" s="4" t="n"/>
      <c r="I290" s="4" t="n"/>
      <c r="J290" s="4" t="n"/>
      <c r="K290" s="5" t="n"/>
      <c r="L290" s="4" t="n"/>
      <c r="M290" s="5" t="n"/>
      <c r="N290" s="5" t="n"/>
      <c r="O290" s="4" t="n"/>
      <c r="P290" s="5" t="n"/>
      <c r="Q290" s="4" t="n"/>
    </row>
    <row r="291">
      <c r="B291" s="4" t="n"/>
      <c r="C291" s="4" t="n"/>
      <c r="D291" s="4" t="n"/>
      <c r="E291" s="4" t="n"/>
      <c r="F291" s="5" t="n"/>
      <c r="G291" s="5" t="n"/>
      <c r="H291" s="4" t="n"/>
      <c r="I291" s="4" t="n"/>
      <c r="J291" s="4" t="n"/>
      <c r="K291" s="5" t="n"/>
      <c r="L291" s="4" t="n"/>
      <c r="M291" s="5" t="n"/>
      <c r="N291" s="5" t="n"/>
      <c r="O291" s="4" t="n"/>
      <c r="P291" s="5" t="n"/>
      <c r="Q291" s="4" t="n"/>
    </row>
    <row r="292">
      <c r="B292" s="4" t="n"/>
      <c r="C292" s="4" t="n"/>
      <c r="D292" s="4" t="n"/>
      <c r="E292" s="4" t="n"/>
      <c r="F292" s="5" t="n"/>
      <c r="G292" s="5" t="n"/>
      <c r="H292" s="4" t="n"/>
      <c r="I292" s="4" t="n"/>
      <c r="J292" s="4" t="n"/>
      <c r="K292" s="5" t="n"/>
      <c r="L292" s="4" t="n"/>
      <c r="M292" s="5" t="n"/>
      <c r="N292" s="5" t="n"/>
      <c r="O292" s="4" t="n"/>
      <c r="P292" s="5" t="n"/>
      <c r="Q292" s="4" t="n"/>
    </row>
    <row r="293">
      <c r="B293" s="4" t="n"/>
      <c r="C293" s="4" t="n"/>
      <c r="D293" s="4" t="n"/>
      <c r="E293" s="4" t="n"/>
      <c r="F293" s="5" t="n"/>
      <c r="G293" s="5" t="n"/>
      <c r="H293" s="4" t="n"/>
      <c r="I293" s="4" t="n"/>
      <c r="J293" s="4" t="n"/>
      <c r="K293" s="5" t="n"/>
      <c r="L293" s="4" t="n"/>
      <c r="M293" s="5" t="n"/>
      <c r="N293" s="5" t="n"/>
      <c r="O293" s="4" t="n"/>
      <c r="P293" s="5" t="n"/>
      <c r="Q293" s="4" t="n"/>
    </row>
    <row r="294">
      <c r="B294" s="4" t="n"/>
      <c r="C294" s="4" t="n"/>
      <c r="D294" s="4" t="n"/>
      <c r="E294" s="4" t="n"/>
      <c r="F294" s="5" t="n"/>
      <c r="G294" s="5" t="n"/>
      <c r="H294" s="4" t="n"/>
      <c r="I294" s="4" t="n"/>
      <c r="J294" s="4" t="n"/>
      <c r="K294" s="5" t="n"/>
      <c r="L294" s="4" t="n"/>
      <c r="M294" s="5" t="n"/>
      <c r="N294" s="5" t="n"/>
      <c r="O294" s="4" t="n"/>
      <c r="P294" s="5" t="n"/>
      <c r="Q294" s="4" t="n"/>
    </row>
    <row r="295">
      <c r="B295" s="4" t="n"/>
      <c r="C295" s="4" t="n"/>
      <c r="D295" s="4" t="n"/>
      <c r="E295" s="4" t="n"/>
      <c r="F295" s="5" t="n"/>
      <c r="G295" s="5" t="n"/>
      <c r="H295" s="4" t="n"/>
      <c r="I295" s="4" t="n"/>
      <c r="J295" s="4" t="n"/>
      <c r="K295" s="5" t="n"/>
      <c r="L295" s="4" t="n"/>
      <c r="M295" s="5" t="n"/>
      <c r="N295" s="5" t="n"/>
      <c r="O295" s="4" t="n"/>
      <c r="P295" s="5" t="n"/>
      <c r="Q295" s="4" t="n"/>
    </row>
    <row r="296">
      <c r="B296" s="4" t="n"/>
      <c r="C296" s="4" t="n"/>
      <c r="D296" s="4" t="n"/>
      <c r="E296" s="4" t="n"/>
      <c r="F296" s="5" t="n"/>
      <c r="G296" s="5" t="n"/>
      <c r="H296" s="4" t="n"/>
      <c r="I296" s="4" t="n"/>
      <c r="J296" s="4" t="n"/>
      <c r="K296" s="5" t="n"/>
      <c r="L296" s="4" t="n"/>
      <c r="M296" s="5" t="n"/>
      <c r="N296" s="5" t="n"/>
      <c r="O296" s="4" t="n"/>
      <c r="P296" s="5" t="n"/>
      <c r="Q296" s="4" t="n"/>
    </row>
    <row r="297">
      <c r="B297" s="4" t="n"/>
      <c r="C297" s="4" t="n"/>
      <c r="D297" s="4" t="n"/>
      <c r="E297" s="4" t="n"/>
      <c r="F297" s="5" t="n"/>
      <c r="G297" s="5" t="n"/>
      <c r="H297" s="4" t="n"/>
      <c r="I297" s="4" t="n"/>
      <c r="J297" s="4" t="n"/>
      <c r="K297" s="5" t="n"/>
      <c r="L297" s="4" t="n"/>
      <c r="M297" s="5" t="n"/>
      <c r="N297" s="5" t="n"/>
      <c r="O297" s="4" t="n"/>
      <c r="P297" s="5" t="n"/>
      <c r="Q297" s="4" t="n"/>
    </row>
    <row r="298">
      <c r="B298" s="4" t="n"/>
      <c r="C298" s="4" t="n"/>
      <c r="D298" s="4" t="n"/>
      <c r="E298" s="4" t="n"/>
      <c r="F298" s="5" t="n"/>
      <c r="G298" s="5" t="n"/>
      <c r="H298" s="4" t="n"/>
      <c r="I298" s="4" t="n"/>
      <c r="J298" s="4" t="n"/>
      <c r="K298" s="5" t="n"/>
      <c r="L298" s="4" t="n"/>
      <c r="M298" s="5" t="n"/>
      <c r="N298" s="5" t="n"/>
      <c r="O298" s="4" t="n"/>
      <c r="P298" s="5" t="n"/>
      <c r="Q298" s="4" t="n"/>
    </row>
    <row r="299">
      <c r="B299" s="4" t="n"/>
      <c r="C299" s="4" t="n"/>
      <c r="D299" s="4" t="n"/>
      <c r="E299" s="4" t="n"/>
      <c r="F299" s="5" t="n"/>
      <c r="G299" s="5" t="n"/>
      <c r="H299" s="4" t="n"/>
      <c r="I299" s="4" t="n"/>
      <c r="J299" s="4" t="n"/>
      <c r="K299" s="5" t="n"/>
      <c r="L299" s="4" t="n"/>
      <c r="M299" s="5" t="n"/>
      <c r="N299" s="5" t="n"/>
      <c r="O299" s="4" t="n"/>
      <c r="P299" s="5" t="n"/>
      <c r="Q299" s="4" t="n"/>
    </row>
    <row r="300">
      <c r="B300" s="4" t="n"/>
      <c r="C300" s="4" t="n"/>
      <c r="D300" s="4" t="n"/>
      <c r="E300" s="4" t="n"/>
      <c r="F300" s="5" t="n"/>
      <c r="G300" s="5" t="n"/>
      <c r="H300" s="4" t="n"/>
      <c r="I300" s="4" t="n"/>
      <c r="J300" s="4" t="n"/>
      <c r="K300" s="5" t="n"/>
      <c r="L300" s="4" t="n"/>
      <c r="M300" s="5" t="n"/>
      <c r="N300" s="5" t="n"/>
      <c r="O300" s="4" t="n"/>
      <c r="P300" s="5" t="n"/>
      <c r="Q300" s="4" t="n"/>
    </row>
    <row r="301">
      <c r="B301" s="4" t="n"/>
      <c r="C301" s="4" t="n"/>
      <c r="D301" s="4" t="n"/>
      <c r="E301" s="4" t="n"/>
      <c r="F301" s="5" t="n"/>
      <c r="G301" s="5" t="n"/>
      <c r="H301" s="4" t="n"/>
      <c r="I301" s="4" t="n"/>
      <c r="J301" s="4" t="n"/>
      <c r="K301" s="5" t="n"/>
      <c r="L301" s="4" t="n"/>
      <c r="M301" s="5" t="n"/>
      <c r="N301" s="5" t="n"/>
      <c r="O301" s="4" t="n"/>
      <c r="P301" s="5" t="n"/>
      <c r="Q301" s="4" t="n"/>
    </row>
    <row r="302">
      <c r="B302" s="4" t="n"/>
      <c r="C302" s="4" t="n"/>
      <c r="D302" s="4" t="n"/>
      <c r="E302" s="4" t="n"/>
      <c r="F302" s="5" t="n"/>
      <c r="G302" s="5" t="n"/>
      <c r="H302" s="4" t="n"/>
      <c r="I302" s="4" t="n"/>
      <c r="J302" s="4" t="n"/>
      <c r="K302" s="5" t="n"/>
      <c r="L302" s="4" t="n"/>
      <c r="M302" s="5" t="n"/>
      <c r="N302" s="5" t="n"/>
      <c r="O302" s="4" t="n"/>
      <c r="P302" s="5" t="n"/>
      <c r="Q302" s="4" t="n"/>
    </row>
    <row r="303">
      <c r="B303" s="4" t="n"/>
      <c r="C303" s="4" t="n"/>
      <c r="D303" s="4" t="n"/>
      <c r="E303" s="4" t="n"/>
      <c r="F303" s="5" t="n"/>
      <c r="G303" s="5" t="n"/>
      <c r="H303" s="4" t="n"/>
      <c r="I303" s="4" t="n"/>
      <c r="J303" s="4" t="n"/>
      <c r="K303" s="5" t="n"/>
      <c r="L303" s="4" t="n"/>
      <c r="M303" s="5" t="n"/>
      <c r="N303" s="5" t="n"/>
      <c r="O303" s="4" t="n"/>
      <c r="P303" s="5" t="n"/>
      <c r="Q303" s="4" t="n"/>
    </row>
    <row r="304">
      <c r="B304" s="4" t="n"/>
      <c r="C304" s="4" t="n"/>
      <c r="D304" s="4" t="n"/>
      <c r="E304" s="4" t="n"/>
      <c r="F304" s="5" t="n"/>
      <c r="G304" s="5" t="n"/>
      <c r="H304" s="4" t="n"/>
      <c r="I304" s="4" t="n"/>
      <c r="J304" s="4" t="n"/>
      <c r="K304" s="5" t="n"/>
      <c r="L304" s="4" t="n"/>
      <c r="M304" s="5" t="n"/>
      <c r="N304" s="5" t="n"/>
      <c r="O304" s="4" t="n"/>
      <c r="P304" s="5" t="n"/>
      <c r="Q304" s="4" t="n"/>
    </row>
    <row r="305">
      <c r="B305" s="4" t="n"/>
      <c r="C305" s="4" t="n"/>
      <c r="D305" s="4" t="n"/>
      <c r="E305" s="4" t="n"/>
      <c r="F305" s="5" t="n"/>
      <c r="G305" s="5" t="n"/>
      <c r="H305" s="4" t="n"/>
      <c r="I305" s="4" t="n"/>
      <c r="J305" s="4" t="n"/>
      <c r="K305" s="5" t="n"/>
      <c r="L305" s="4" t="n"/>
      <c r="M305" s="5" t="n"/>
      <c r="N305" s="5" t="n"/>
      <c r="O305" s="4" t="n"/>
      <c r="P305" s="5" t="n"/>
      <c r="Q305" s="4" t="n"/>
    </row>
    <row r="306">
      <c r="B306" s="4" t="n"/>
      <c r="C306" s="4" t="n"/>
      <c r="D306" s="4" t="n"/>
      <c r="E306" s="4" t="n"/>
      <c r="F306" s="5" t="n"/>
      <c r="G306" s="5" t="n"/>
      <c r="H306" s="4" t="n"/>
      <c r="I306" s="4" t="n"/>
      <c r="J306" s="4" t="n"/>
      <c r="K306" s="5" t="n"/>
      <c r="L306" s="4" t="n"/>
      <c r="M306" s="5" t="n"/>
      <c r="N306" s="5" t="n"/>
      <c r="O306" s="4" t="n"/>
      <c r="P306" s="5" t="n"/>
      <c r="Q306" s="4" t="n"/>
    </row>
    <row r="307">
      <c r="B307" s="4" t="n"/>
      <c r="C307" s="4" t="n"/>
      <c r="D307" s="4" t="n"/>
      <c r="E307" s="4" t="n"/>
      <c r="F307" s="5" t="n"/>
      <c r="G307" s="5" t="n"/>
      <c r="H307" s="4" t="n"/>
      <c r="I307" s="4" t="n"/>
      <c r="J307" s="4" t="n"/>
      <c r="K307" s="5" t="n"/>
      <c r="L307" s="4" t="n"/>
      <c r="M307" s="5" t="n"/>
      <c r="N307" s="5" t="n"/>
      <c r="O307" s="4" t="n"/>
      <c r="P307" s="5" t="n"/>
      <c r="Q307" s="4" t="n"/>
    </row>
    <row r="308">
      <c r="B308" s="4" t="n"/>
      <c r="C308" s="4" t="n"/>
      <c r="D308" s="4" t="n"/>
      <c r="E308" s="4" t="n"/>
      <c r="F308" s="5" t="n"/>
      <c r="G308" s="5" t="n"/>
      <c r="H308" s="4" t="n"/>
      <c r="I308" s="4" t="n"/>
      <c r="J308" s="4" t="n"/>
      <c r="K308" s="5" t="n"/>
      <c r="L308" s="4" t="n"/>
      <c r="M308" s="5" t="n"/>
      <c r="N308" s="5" t="n"/>
      <c r="O308" s="4" t="n"/>
      <c r="P308" s="5" t="n"/>
      <c r="Q308" s="4" t="n"/>
    </row>
    <row r="309">
      <c r="B309" s="4" t="n"/>
      <c r="C309" s="4" t="n"/>
      <c r="D309" s="4" t="n"/>
      <c r="E309" s="4" t="n"/>
      <c r="F309" s="5" t="n"/>
      <c r="G309" s="5" t="n"/>
      <c r="H309" s="4" t="n"/>
      <c r="I309" s="4" t="n"/>
      <c r="J309" s="4" t="n"/>
      <c r="K309" s="5" t="n"/>
      <c r="L309" s="4" t="n"/>
      <c r="M309" s="5" t="n"/>
      <c r="N309" s="5" t="n"/>
      <c r="O309" s="4" t="n"/>
      <c r="P309" s="5" t="n"/>
      <c r="Q309" s="4" t="n"/>
    </row>
    <row r="310">
      <c r="B310" s="4" t="n"/>
      <c r="C310" s="4" t="n"/>
      <c r="D310" s="4" t="n"/>
      <c r="E310" s="4" t="n"/>
      <c r="F310" s="5" t="n"/>
      <c r="G310" s="5" t="n"/>
      <c r="H310" s="4" t="n"/>
      <c r="I310" s="4" t="n"/>
      <c r="J310" s="4" t="n"/>
      <c r="K310" s="5" t="n"/>
      <c r="L310" s="4" t="n"/>
      <c r="M310" s="5" t="n"/>
      <c r="N310" s="5" t="n"/>
      <c r="O310" s="4" t="n"/>
      <c r="P310" s="5" t="n"/>
      <c r="Q310" s="4" t="n"/>
    </row>
    <row r="311">
      <c r="B311" s="4" t="n"/>
      <c r="C311" s="4" t="n"/>
      <c r="D311" s="4" t="n"/>
      <c r="E311" s="4" t="n"/>
      <c r="F311" s="5" t="n"/>
      <c r="G311" s="5" t="n"/>
      <c r="H311" s="4" t="n"/>
      <c r="I311" s="4" t="n"/>
      <c r="J311" s="4" t="n"/>
      <c r="K311" s="5" t="n"/>
      <c r="L311" s="4" t="n"/>
      <c r="M311" s="5" t="n"/>
      <c r="N311" s="5" t="n"/>
      <c r="O311" s="4" t="n"/>
      <c r="P311" s="5" t="n"/>
      <c r="Q311" s="4" t="n"/>
    </row>
    <row r="312">
      <c r="B312" s="4" t="n"/>
      <c r="C312" s="4" t="n"/>
      <c r="D312" s="4" t="n"/>
      <c r="E312" s="4" t="n"/>
      <c r="F312" s="5" t="n"/>
      <c r="G312" s="5" t="n"/>
      <c r="H312" s="4" t="n"/>
      <c r="I312" s="4" t="n"/>
      <c r="J312" s="4" t="n"/>
      <c r="K312" s="5" t="n"/>
      <c r="L312" s="4" t="n"/>
      <c r="M312" s="5" t="n"/>
      <c r="N312" s="5" t="n"/>
      <c r="O312" s="4" t="n"/>
      <c r="P312" s="5" t="n"/>
      <c r="Q312" s="4" t="n"/>
    </row>
    <row r="313">
      <c r="B313" s="4" t="n"/>
      <c r="C313" s="4" t="n"/>
      <c r="D313" s="4" t="n"/>
      <c r="E313" s="4" t="n"/>
      <c r="F313" s="5" t="n"/>
      <c r="G313" s="5" t="n"/>
      <c r="H313" s="4" t="n"/>
      <c r="I313" s="4" t="n"/>
      <c r="J313" s="4" t="n"/>
      <c r="K313" s="5" t="n"/>
      <c r="L313" s="4" t="n"/>
      <c r="M313" s="5" t="n"/>
      <c r="N313" s="5" t="n"/>
      <c r="O313" s="4" t="n"/>
      <c r="P313" s="5" t="n"/>
      <c r="Q313" s="4" t="n"/>
    </row>
    <row r="314">
      <c r="B314" s="4" t="n"/>
      <c r="C314" s="4" t="n"/>
      <c r="D314" s="4" t="n"/>
      <c r="E314" s="4" t="n"/>
      <c r="F314" s="5" t="n"/>
      <c r="G314" s="5" t="n"/>
      <c r="H314" s="4" t="n"/>
      <c r="I314" s="4" t="n"/>
      <c r="J314" s="4" t="n"/>
      <c r="K314" s="5" t="n"/>
      <c r="L314" s="4" t="n"/>
      <c r="M314" s="5" t="n"/>
      <c r="N314" s="5" t="n"/>
      <c r="O314" s="4" t="n"/>
      <c r="P314" s="5" t="n"/>
      <c r="Q314" s="4" t="n"/>
    </row>
    <row r="315">
      <c r="B315" s="4" t="n"/>
      <c r="C315" s="4" t="n"/>
      <c r="D315" s="4" t="n"/>
      <c r="E315" s="4" t="n"/>
      <c r="F315" s="5" t="n"/>
      <c r="G315" s="5" t="n"/>
      <c r="H315" s="4" t="n"/>
      <c r="I315" s="4" t="n"/>
      <c r="J315" s="4" t="n"/>
      <c r="K315" s="5" t="n"/>
      <c r="L315" s="4" t="n"/>
      <c r="M315" s="5" t="n"/>
      <c r="N315" s="5" t="n"/>
      <c r="O315" s="4" t="n"/>
      <c r="P315" s="5" t="n"/>
      <c r="Q315" s="4" t="n"/>
    </row>
    <row r="316">
      <c r="B316" s="4" t="n"/>
      <c r="C316" s="4" t="n"/>
      <c r="D316" s="4" t="n"/>
      <c r="E316" s="4" t="n"/>
      <c r="F316" s="5" t="n"/>
      <c r="G316" s="5" t="n"/>
      <c r="H316" s="4" t="n"/>
      <c r="I316" s="4" t="n"/>
      <c r="J316" s="4" t="n"/>
      <c r="K316" s="5" t="n"/>
      <c r="L316" s="4" t="n"/>
      <c r="M316" s="5" t="n"/>
      <c r="N316" s="5" t="n"/>
      <c r="O316" s="4" t="n"/>
      <c r="P316" s="5" t="n"/>
      <c r="Q316" s="4" t="n"/>
    </row>
    <row r="317">
      <c r="B317" s="4" t="n"/>
      <c r="C317" s="4" t="n"/>
      <c r="D317" s="4" t="n"/>
      <c r="E317" s="4" t="n"/>
      <c r="F317" s="5" t="n"/>
      <c r="G317" s="5" t="n"/>
      <c r="H317" s="4" t="n"/>
      <c r="I317" s="4" t="n"/>
      <c r="J317" s="4" t="n"/>
      <c r="K317" s="5" t="n"/>
      <c r="L317" s="4" t="n"/>
      <c r="M317" s="5" t="n"/>
      <c r="N317" s="5" t="n"/>
      <c r="O317" s="4" t="n"/>
      <c r="P317" s="5" t="n"/>
      <c r="Q317" s="4" t="n"/>
    </row>
    <row r="318">
      <c r="B318" s="4" t="n"/>
      <c r="C318" s="4" t="n"/>
      <c r="D318" s="4" t="n"/>
      <c r="E318" s="4" t="n"/>
      <c r="F318" s="5" t="n"/>
      <c r="G318" s="5" t="n"/>
      <c r="H318" s="4" t="n"/>
      <c r="I318" s="4" t="n"/>
      <c r="J318" s="4" t="n"/>
      <c r="K318" s="5" t="n"/>
      <c r="L318" s="4" t="n"/>
      <c r="M318" s="5" t="n"/>
      <c r="N318" s="5" t="n"/>
      <c r="O318" s="4" t="n"/>
      <c r="P318" s="5" t="n"/>
      <c r="Q318" s="4" t="n"/>
    </row>
    <row r="319">
      <c r="B319" s="4" t="n"/>
      <c r="C319" s="4" t="n"/>
      <c r="D319" s="4" t="n"/>
      <c r="E319" s="4" t="n"/>
      <c r="F319" s="5" t="n"/>
      <c r="G319" s="5" t="n"/>
      <c r="H319" s="4" t="n"/>
      <c r="I319" s="4" t="n"/>
      <c r="J319" s="4" t="n"/>
      <c r="K319" s="5" t="n"/>
      <c r="L319" s="4" t="n"/>
      <c r="M319" s="5" t="n"/>
      <c r="N319" s="5" t="n"/>
      <c r="O319" s="4" t="n"/>
      <c r="P319" s="5" t="n"/>
      <c r="Q319" s="4" t="n"/>
    </row>
    <row r="320">
      <c r="B320" s="4" t="n"/>
      <c r="C320" s="4" t="n"/>
      <c r="D320" s="4" t="n"/>
      <c r="E320" s="4" t="n"/>
      <c r="F320" s="5" t="n"/>
      <c r="G320" s="5" t="n"/>
      <c r="H320" s="4" t="n"/>
      <c r="I320" s="4" t="n"/>
      <c r="J320" s="4" t="n"/>
      <c r="K320" s="5" t="n"/>
      <c r="L320" s="4" t="n"/>
      <c r="M320" s="5" t="n"/>
      <c r="N320" s="5" t="n"/>
      <c r="O320" s="4" t="n"/>
      <c r="P320" s="5" t="n"/>
      <c r="Q320" s="4" t="n"/>
    </row>
    <row r="321">
      <c r="B321" s="4" t="n"/>
      <c r="C321" s="4" t="n"/>
      <c r="D321" s="4" t="n"/>
      <c r="E321" s="4" t="n"/>
      <c r="F321" s="5" t="n"/>
      <c r="G321" s="5" t="n"/>
      <c r="H321" s="4" t="n"/>
      <c r="I321" s="4" t="n"/>
      <c r="J321" s="4" t="n"/>
      <c r="K321" s="5" t="n"/>
      <c r="L321" s="4" t="n"/>
      <c r="M321" s="5" t="n"/>
      <c r="N321" s="5" t="n"/>
      <c r="O321" s="4" t="n"/>
      <c r="P321" s="5" t="n"/>
      <c r="Q321" s="4" t="n"/>
    </row>
    <row r="322">
      <c r="B322" s="4" t="n"/>
      <c r="C322" s="4" t="n"/>
      <c r="D322" s="4" t="n"/>
      <c r="E322" s="4" t="n"/>
      <c r="F322" s="5" t="n"/>
      <c r="G322" s="5" t="n"/>
      <c r="H322" s="4" t="n"/>
      <c r="I322" s="4" t="n"/>
      <c r="J322" s="4" t="n"/>
      <c r="K322" s="5" t="n"/>
      <c r="L322" s="4" t="n"/>
      <c r="M322" s="5" t="n"/>
      <c r="N322" s="5" t="n"/>
      <c r="O322" s="4" t="n"/>
      <c r="P322" s="5" t="n"/>
      <c r="Q322" s="4" t="n"/>
    </row>
    <row r="323">
      <c r="B323" s="4" t="n"/>
      <c r="C323" s="4" t="n"/>
      <c r="D323" s="4" t="n"/>
      <c r="E323" s="4" t="n"/>
      <c r="F323" s="5" t="n"/>
      <c r="G323" s="5" t="n"/>
      <c r="H323" s="4" t="n"/>
      <c r="I323" s="4" t="n"/>
      <c r="J323" s="4" t="n"/>
      <c r="K323" s="5" t="n"/>
      <c r="L323" s="4" t="n"/>
      <c r="M323" s="5" t="n"/>
      <c r="N323" s="5" t="n"/>
      <c r="O323" s="4" t="n"/>
      <c r="P323" s="5" t="n"/>
      <c r="Q323" s="4" t="n"/>
    </row>
    <row r="324">
      <c r="B324" s="4" t="n"/>
      <c r="C324" s="4" t="n"/>
      <c r="D324" s="4" t="n"/>
      <c r="E324" s="4" t="n"/>
      <c r="F324" s="5" t="n"/>
      <c r="G324" s="5" t="n"/>
      <c r="H324" s="4" t="n"/>
      <c r="I324" s="4" t="n"/>
      <c r="J324" s="4" t="n"/>
      <c r="K324" s="5" t="n"/>
      <c r="L324" s="4" t="n"/>
      <c r="M324" s="5" t="n"/>
      <c r="N324" s="5" t="n"/>
      <c r="O324" s="4" t="n"/>
      <c r="P324" s="5" t="n"/>
      <c r="Q324" s="4" t="n"/>
    </row>
    <row r="325">
      <c r="B325" s="4" t="n"/>
      <c r="C325" s="4" t="n"/>
      <c r="D325" s="4" t="n"/>
      <c r="E325" s="4" t="n"/>
      <c r="F325" s="5" t="n"/>
      <c r="G325" s="5" t="n"/>
      <c r="H325" s="4" t="n"/>
      <c r="I325" s="4" t="n"/>
      <c r="J325" s="4" t="n"/>
      <c r="K325" s="5" t="n"/>
      <c r="L325" s="4" t="n"/>
      <c r="M325" s="5" t="n"/>
      <c r="N325" s="5" t="n"/>
      <c r="O325" s="4" t="n"/>
      <c r="P325" s="5" t="n"/>
      <c r="Q325" s="4" t="n"/>
    </row>
    <row r="326">
      <c r="B326" s="4" t="n"/>
      <c r="C326" s="4" t="n"/>
      <c r="D326" s="4" t="n"/>
      <c r="E326" s="4" t="n"/>
      <c r="F326" s="5" t="n"/>
      <c r="G326" s="5" t="n"/>
      <c r="H326" s="4" t="n"/>
      <c r="I326" s="4" t="n"/>
      <c r="J326" s="4" t="n"/>
      <c r="K326" s="5" t="n"/>
      <c r="L326" s="4" t="n"/>
      <c r="M326" s="5" t="n"/>
      <c r="N326" s="5" t="n"/>
      <c r="O326" s="4" t="n"/>
      <c r="P326" s="5" t="n"/>
      <c r="Q326" s="4" t="n"/>
    </row>
    <row r="327">
      <c r="B327" s="4" t="n"/>
      <c r="C327" s="4" t="n"/>
      <c r="D327" s="4" t="n"/>
      <c r="E327" s="4" t="n"/>
      <c r="F327" s="5" t="n"/>
      <c r="G327" s="5" t="n"/>
      <c r="H327" s="4" t="n"/>
      <c r="I327" s="4" t="n"/>
      <c r="J327" s="4" t="n"/>
      <c r="K327" s="5" t="n"/>
      <c r="L327" s="4" t="n"/>
      <c r="M327" s="5" t="n"/>
      <c r="N327" s="5" t="n"/>
      <c r="O327" s="4" t="n"/>
      <c r="P327" s="5" t="n"/>
      <c r="Q327" s="4" t="n"/>
    </row>
    <row r="328">
      <c r="B328" s="4" t="n"/>
      <c r="C328" s="4" t="n"/>
      <c r="D328" s="4" t="n"/>
      <c r="E328" s="4" t="n"/>
      <c r="F328" s="5" t="n"/>
      <c r="G328" s="5" t="n"/>
      <c r="H328" s="4" t="n"/>
      <c r="I328" s="4" t="n"/>
      <c r="J328" s="4" t="n"/>
      <c r="K328" s="5" t="n"/>
      <c r="L328" s="4" t="n"/>
      <c r="M328" s="5" t="n"/>
      <c r="N328" s="5" t="n"/>
      <c r="O328" s="4" t="n"/>
      <c r="P328" s="5" t="n"/>
      <c r="Q328" s="4" t="n"/>
    </row>
    <row r="329">
      <c r="B329" s="4" t="n"/>
      <c r="C329" s="4" t="n"/>
      <c r="D329" s="4" t="n"/>
      <c r="E329" s="4" t="n"/>
      <c r="F329" s="5" t="n"/>
      <c r="G329" s="5" t="n"/>
      <c r="H329" s="4" t="n"/>
      <c r="I329" s="4" t="n"/>
      <c r="J329" s="4" t="n"/>
      <c r="K329" s="5" t="n"/>
      <c r="L329" s="4" t="n"/>
      <c r="M329" s="5" t="n"/>
      <c r="N329" s="5" t="n"/>
      <c r="O329" s="4" t="n"/>
      <c r="P329" s="5" t="n"/>
      <c r="Q329" s="4" t="n"/>
    </row>
    <row r="330">
      <c r="B330" s="4" t="n"/>
      <c r="C330" s="4" t="n"/>
      <c r="D330" s="4" t="n"/>
      <c r="E330" s="4" t="n"/>
      <c r="F330" s="5" t="n"/>
      <c r="G330" s="5" t="n"/>
      <c r="H330" s="4" t="n"/>
      <c r="I330" s="4" t="n"/>
      <c r="J330" s="4" t="n"/>
      <c r="K330" s="5" t="n"/>
      <c r="L330" s="4" t="n"/>
      <c r="M330" s="5" t="n"/>
      <c r="N330" s="5" t="n"/>
      <c r="O330" s="4" t="n"/>
      <c r="P330" s="5" t="n"/>
      <c r="Q330" s="4" t="n"/>
    </row>
    <row r="331">
      <c r="B331" s="4" t="n"/>
      <c r="C331" s="4" t="n"/>
      <c r="D331" s="4" t="n"/>
      <c r="E331" s="4" t="n"/>
      <c r="F331" s="5" t="n"/>
      <c r="G331" s="5" t="n"/>
      <c r="H331" s="4" t="n"/>
      <c r="I331" s="4" t="n"/>
      <c r="J331" s="4" t="n"/>
      <c r="K331" s="5" t="n"/>
      <c r="L331" s="4" t="n"/>
      <c r="M331" s="5" t="n"/>
      <c r="N331" s="5" t="n"/>
      <c r="O331" s="4" t="n"/>
      <c r="P331" s="5" t="n"/>
      <c r="Q331" s="4" t="n"/>
    </row>
    <row r="332">
      <c r="B332" s="4" t="n"/>
      <c r="C332" s="4" t="n"/>
      <c r="D332" s="4" t="n"/>
      <c r="E332" s="4" t="n"/>
      <c r="F332" s="5" t="n"/>
      <c r="G332" s="5" t="n"/>
      <c r="H332" s="4" t="n"/>
      <c r="I332" s="4" t="n"/>
      <c r="J332" s="4" t="n"/>
      <c r="K332" s="5" t="n"/>
      <c r="L332" s="4" t="n"/>
      <c r="M332" s="5" t="n"/>
      <c r="N332" s="5" t="n"/>
      <c r="O332" s="4" t="n"/>
      <c r="P332" s="5" t="n"/>
      <c r="Q332" s="4" t="n"/>
    </row>
    <row r="333">
      <c r="B333" s="4" t="n"/>
      <c r="C333" s="4" t="n"/>
      <c r="D333" s="4" t="n"/>
      <c r="E333" s="4" t="n"/>
      <c r="F333" s="5" t="n"/>
      <c r="G333" s="5" t="n"/>
      <c r="H333" s="4" t="n"/>
      <c r="I333" s="4" t="n"/>
      <c r="J333" s="4" t="n"/>
      <c r="K333" s="5" t="n"/>
      <c r="L333" s="4" t="n"/>
      <c r="M333" s="5" t="n"/>
      <c r="N333" s="5" t="n"/>
      <c r="O333" s="4" t="n"/>
      <c r="P333" s="5" t="n"/>
      <c r="Q333" s="4" t="n"/>
    </row>
    <row r="334">
      <c r="B334" s="4" t="n"/>
      <c r="C334" s="4" t="n"/>
      <c r="D334" s="4" t="n"/>
      <c r="E334" s="4" t="n"/>
      <c r="F334" s="5" t="n"/>
      <c r="G334" s="5" t="n"/>
      <c r="H334" s="4" t="n"/>
      <c r="I334" s="4" t="n"/>
      <c r="J334" s="4" t="n"/>
      <c r="K334" s="5" t="n"/>
      <c r="L334" s="4" t="n"/>
      <c r="M334" s="5" t="n"/>
      <c r="N334" s="5" t="n"/>
      <c r="O334" s="4" t="n"/>
      <c r="P334" s="5" t="n"/>
      <c r="Q334" s="4" t="n"/>
    </row>
    <row r="335">
      <c r="B335" s="4" t="n"/>
      <c r="C335" s="4" t="n"/>
      <c r="D335" s="4" t="n"/>
      <c r="E335" s="4" t="n"/>
      <c r="F335" s="5" t="n"/>
      <c r="G335" s="5" t="n"/>
      <c r="H335" s="4" t="n"/>
      <c r="I335" s="4" t="n"/>
      <c r="J335" s="4" t="n"/>
      <c r="K335" s="5" t="n"/>
      <c r="L335" s="4" t="n"/>
      <c r="M335" s="5" t="n"/>
      <c r="N335" s="5" t="n"/>
      <c r="O335" s="4" t="n"/>
      <c r="P335" s="5" t="n"/>
      <c r="Q335" s="4" t="n"/>
    </row>
    <row r="336">
      <c r="B336" s="4" t="n"/>
      <c r="C336" s="4" t="n"/>
      <c r="D336" s="4" t="n"/>
      <c r="E336" s="4" t="n"/>
      <c r="F336" s="5" t="n"/>
      <c r="G336" s="5" t="n"/>
      <c r="H336" s="4" t="n"/>
      <c r="I336" s="4" t="n"/>
      <c r="J336" s="4" t="n"/>
      <c r="K336" s="5" t="n"/>
      <c r="L336" s="4" t="n"/>
      <c r="M336" s="5" t="n"/>
      <c r="N336" s="5" t="n"/>
      <c r="O336" s="4" t="n"/>
      <c r="P336" s="5" t="n"/>
      <c r="Q336" s="4" t="n"/>
    </row>
    <row r="337">
      <c r="B337" s="4" t="n"/>
      <c r="C337" s="4" t="n"/>
      <c r="D337" s="4" t="n"/>
      <c r="E337" s="4" t="n"/>
      <c r="F337" s="5" t="n"/>
      <c r="G337" s="5" t="n"/>
      <c r="H337" s="4" t="n"/>
      <c r="I337" s="4" t="n"/>
      <c r="J337" s="4" t="n"/>
      <c r="K337" s="5" t="n"/>
      <c r="L337" s="4" t="n"/>
      <c r="M337" s="5" t="n"/>
      <c r="N337" s="5" t="n"/>
      <c r="O337" s="4" t="n"/>
      <c r="P337" s="5" t="n"/>
      <c r="Q337" s="4" t="n"/>
    </row>
    <row r="338">
      <c r="B338" s="4" t="n"/>
      <c r="C338" s="4" t="n"/>
      <c r="D338" s="4" t="n"/>
      <c r="E338" s="4" t="n"/>
      <c r="F338" s="5" t="n"/>
      <c r="G338" s="5" t="n"/>
      <c r="H338" s="4" t="n"/>
      <c r="I338" s="4" t="n"/>
      <c r="J338" s="4" t="n"/>
      <c r="K338" s="5" t="n"/>
      <c r="L338" s="4" t="n"/>
      <c r="M338" s="5" t="n"/>
      <c r="N338" s="5" t="n"/>
      <c r="O338" s="4" t="n"/>
      <c r="P338" s="5" t="n"/>
      <c r="Q338" s="4" t="n"/>
    </row>
    <row r="339">
      <c r="B339" s="4" t="n"/>
      <c r="C339" s="4" t="n"/>
      <c r="D339" s="4" t="n"/>
      <c r="E339" s="4" t="n"/>
      <c r="F339" s="5" t="n"/>
      <c r="G339" s="5" t="n"/>
      <c r="H339" s="4" t="n"/>
      <c r="I339" s="4" t="n"/>
      <c r="J339" s="4" t="n"/>
      <c r="K339" s="5" t="n"/>
      <c r="L339" s="4" t="n"/>
      <c r="M339" s="5" t="n"/>
      <c r="N339" s="5" t="n"/>
      <c r="O339" s="4" t="n"/>
      <c r="P339" s="5" t="n"/>
      <c r="Q339" s="4" t="n"/>
    </row>
    <row r="340">
      <c r="B340" s="4" t="n"/>
      <c r="C340" s="4" t="n"/>
      <c r="D340" s="4" t="n"/>
      <c r="E340" s="4" t="n"/>
      <c r="F340" s="5" t="n"/>
      <c r="G340" s="5" t="n"/>
      <c r="H340" s="4" t="n"/>
      <c r="I340" s="4" t="n"/>
      <c r="J340" s="4" t="n"/>
      <c r="K340" s="5" t="n"/>
      <c r="L340" s="4" t="n"/>
      <c r="M340" s="5" t="n"/>
      <c r="N340" s="5" t="n"/>
      <c r="O340" s="4" t="n"/>
      <c r="P340" s="5" t="n"/>
      <c r="Q340" s="4" t="n"/>
    </row>
    <row r="341">
      <c r="B341" s="4" t="n"/>
      <c r="C341" s="4" t="n"/>
      <c r="D341" s="4" t="n"/>
      <c r="E341" s="4" t="n"/>
      <c r="F341" s="5" t="n"/>
      <c r="G341" s="5" t="n"/>
      <c r="H341" s="4" t="n"/>
      <c r="I341" s="4" t="n"/>
      <c r="J341" s="4" t="n"/>
      <c r="K341" s="5" t="n"/>
      <c r="L341" s="4" t="n"/>
      <c r="M341" s="5" t="n"/>
      <c r="N341" s="5" t="n"/>
      <c r="O341" s="4" t="n"/>
      <c r="P341" s="5" t="n"/>
      <c r="Q341" s="4" t="n"/>
    </row>
    <row r="342">
      <c r="B342" s="4" t="n"/>
      <c r="C342" s="4" t="n"/>
      <c r="D342" s="4" t="n"/>
      <c r="E342" s="4" t="n"/>
      <c r="F342" s="5" t="n"/>
      <c r="G342" s="5" t="n"/>
      <c r="H342" s="4" t="n"/>
      <c r="I342" s="4" t="n"/>
      <c r="J342" s="4" t="n"/>
      <c r="K342" s="5" t="n"/>
      <c r="L342" s="4" t="n"/>
      <c r="M342" s="5" t="n"/>
      <c r="N342" s="5" t="n"/>
      <c r="O342" s="4" t="n"/>
      <c r="P342" s="5" t="n"/>
      <c r="Q342" s="4" t="n"/>
    </row>
    <row r="343">
      <c r="B343" s="4" t="n"/>
      <c r="C343" s="4" t="n"/>
      <c r="D343" s="4" t="n"/>
      <c r="E343" s="4" t="n"/>
      <c r="F343" s="5" t="n"/>
      <c r="G343" s="5" t="n"/>
      <c r="H343" s="4" t="n"/>
      <c r="I343" s="4" t="n"/>
      <c r="J343" s="4" t="n"/>
      <c r="K343" s="5" t="n"/>
      <c r="L343" s="4" t="n"/>
      <c r="M343" s="5" t="n"/>
      <c r="N343" s="5" t="n"/>
      <c r="O343" s="4" t="n"/>
      <c r="P343" s="5" t="n"/>
      <c r="Q343" s="4" t="n"/>
    </row>
    <row r="344">
      <c r="B344" s="4" t="n"/>
      <c r="C344" s="4" t="n"/>
      <c r="D344" s="4" t="n"/>
      <c r="E344" s="4" t="n"/>
      <c r="F344" s="5" t="n"/>
      <c r="G344" s="5" t="n"/>
      <c r="H344" s="4" t="n"/>
      <c r="I344" s="4" t="n"/>
      <c r="J344" s="4" t="n"/>
      <c r="K344" s="5" t="n"/>
      <c r="L344" s="4" t="n"/>
      <c r="M344" s="5" t="n"/>
      <c r="N344" s="5" t="n"/>
      <c r="O344" s="4" t="n"/>
      <c r="P344" s="5" t="n"/>
      <c r="Q344" s="4" t="n"/>
    </row>
    <row r="345">
      <c r="B345" s="4" t="n"/>
      <c r="C345" s="4" t="n"/>
      <c r="D345" s="4" t="n"/>
      <c r="E345" s="4" t="n"/>
      <c r="F345" s="5" t="n"/>
      <c r="G345" s="5" t="n"/>
      <c r="H345" s="4" t="n"/>
      <c r="I345" s="4" t="n"/>
      <c r="J345" s="4" t="n"/>
      <c r="K345" s="5" t="n"/>
      <c r="L345" s="4" t="n"/>
      <c r="M345" s="5" t="n"/>
      <c r="N345" s="5" t="n"/>
      <c r="O345" s="4" t="n"/>
      <c r="P345" s="5" t="n"/>
      <c r="Q345" s="4" t="n"/>
    </row>
    <row r="346">
      <c r="B346" s="4" t="n"/>
      <c r="C346" s="4" t="n"/>
      <c r="D346" s="4" t="n"/>
      <c r="E346" s="4" t="n"/>
      <c r="F346" s="5" t="n"/>
      <c r="G346" s="5" t="n"/>
      <c r="H346" s="4" t="n"/>
      <c r="I346" s="4" t="n"/>
      <c r="J346" s="4" t="n"/>
      <c r="K346" s="5" t="n"/>
      <c r="L346" s="4" t="n"/>
      <c r="M346" s="5" t="n"/>
      <c r="N346" s="5" t="n"/>
      <c r="O346" s="4" t="n"/>
      <c r="P346" s="5" t="n"/>
      <c r="Q346" s="4" t="n"/>
    </row>
    <row r="347">
      <c r="B347" s="4" t="n"/>
      <c r="C347" s="4" t="n"/>
      <c r="D347" s="4" t="n"/>
      <c r="E347" s="4" t="n"/>
      <c r="F347" s="5" t="n"/>
      <c r="G347" s="5" t="n"/>
      <c r="H347" s="4" t="n"/>
      <c r="I347" s="4" t="n"/>
      <c r="J347" s="4" t="n"/>
      <c r="K347" s="5" t="n"/>
      <c r="L347" s="4" t="n"/>
      <c r="M347" s="5" t="n"/>
      <c r="N347" s="5" t="n"/>
      <c r="O347" s="4" t="n"/>
      <c r="P347" s="5" t="n"/>
      <c r="Q347" s="4" t="n"/>
    </row>
    <row r="348">
      <c r="B348" s="4" t="n"/>
      <c r="C348" s="4" t="n"/>
      <c r="D348" s="4" t="n"/>
      <c r="E348" s="4" t="n"/>
      <c r="F348" s="5" t="n"/>
      <c r="G348" s="5" t="n"/>
      <c r="H348" s="4" t="n"/>
      <c r="I348" s="4" t="n"/>
      <c r="J348" s="4" t="n"/>
      <c r="K348" s="5" t="n"/>
      <c r="L348" s="4" t="n"/>
      <c r="M348" s="5" t="n"/>
      <c r="N348" s="5" t="n"/>
      <c r="O348" s="4" t="n"/>
      <c r="P348" s="5" t="n"/>
      <c r="Q348" s="4" t="n"/>
    </row>
    <row r="349">
      <c r="B349" s="4" t="n"/>
      <c r="C349" s="4" t="n"/>
      <c r="D349" s="4" t="n"/>
      <c r="E349" s="4" t="n"/>
      <c r="F349" s="5" t="n"/>
      <c r="G349" s="5" t="n"/>
      <c r="H349" s="4" t="n"/>
      <c r="I349" s="4" t="n"/>
      <c r="J349" s="4" t="n"/>
      <c r="K349" s="5" t="n"/>
      <c r="L349" s="4" t="n"/>
      <c r="M349" s="5" t="n"/>
      <c r="N349" s="5" t="n"/>
      <c r="O349" s="4" t="n"/>
      <c r="P349" s="5" t="n"/>
      <c r="Q349" s="4" t="n"/>
    </row>
    <row r="350">
      <c r="B350" s="4" t="n"/>
      <c r="C350" s="4" t="n"/>
      <c r="D350" s="4" t="n"/>
      <c r="E350" s="4" t="n"/>
      <c r="F350" s="5" t="n"/>
      <c r="G350" s="5" t="n"/>
      <c r="H350" s="4" t="n"/>
      <c r="I350" s="4" t="n"/>
      <c r="J350" s="4" t="n"/>
      <c r="K350" s="5" t="n"/>
      <c r="L350" s="4" t="n"/>
      <c r="M350" s="5" t="n"/>
      <c r="N350" s="5" t="n"/>
      <c r="O350" s="4" t="n"/>
      <c r="P350" s="5" t="n"/>
      <c r="Q350" s="4" t="n"/>
    </row>
    <row r="351">
      <c r="B351" s="4" t="n"/>
      <c r="C351" s="4" t="n"/>
      <c r="D351" s="4" t="n"/>
      <c r="E351" s="4" t="n"/>
      <c r="F351" s="5" t="n"/>
      <c r="G351" s="5" t="n"/>
      <c r="H351" s="4" t="n"/>
      <c r="I351" s="4" t="n"/>
      <c r="J351" s="4" t="n"/>
      <c r="K351" s="5" t="n"/>
      <c r="L351" s="4" t="n"/>
      <c r="M351" s="5" t="n"/>
      <c r="N351" s="5" t="n"/>
      <c r="O351" s="4" t="n"/>
      <c r="P351" s="5" t="n"/>
      <c r="Q351" s="4" t="n"/>
    </row>
    <row r="352">
      <c r="B352" s="4" t="n"/>
      <c r="C352" s="4" t="n"/>
      <c r="D352" s="4" t="n"/>
      <c r="E352" s="4" t="n"/>
      <c r="F352" s="5" t="n"/>
      <c r="G352" s="5" t="n"/>
      <c r="H352" s="4" t="n"/>
      <c r="I352" s="4" t="n"/>
      <c r="J352" s="4" t="n"/>
      <c r="K352" s="5" t="n"/>
      <c r="L352" s="4" t="n"/>
      <c r="M352" s="5" t="n"/>
      <c r="N352" s="5" t="n"/>
      <c r="O352" s="4" t="n"/>
      <c r="P352" s="5" t="n"/>
      <c r="Q352" s="4" t="n"/>
    </row>
    <row r="353">
      <c r="B353" s="4" t="n"/>
      <c r="C353" s="4" t="n"/>
      <c r="D353" s="4" t="n"/>
      <c r="E353" s="4" t="n"/>
      <c r="F353" s="5" t="n"/>
      <c r="G353" s="5" t="n"/>
      <c r="H353" s="4" t="n"/>
      <c r="I353" s="4" t="n"/>
      <c r="J353" s="4" t="n"/>
      <c r="K353" s="5" t="n"/>
      <c r="L353" s="4" t="n"/>
      <c r="M353" s="5" t="n"/>
      <c r="N353" s="5" t="n"/>
      <c r="O353" s="4" t="n"/>
      <c r="P353" s="5" t="n"/>
      <c r="Q353" s="4" t="n"/>
    </row>
    <row r="354">
      <c r="B354" s="4" t="n"/>
      <c r="C354" s="4" t="n"/>
      <c r="D354" s="4" t="n"/>
      <c r="E354" s="4" t="n"/>
      <c r="F354" s="5" t="n"/>
      <c r="G354" s="5" t="n"/>
      <c r="H354" s="4" t="n"/>
      <c r="I354" s="4" t="n"/>
      <c r="J354" s="4" t="n"/>
      <c r="K354" s="5" t="n"/>
      <c r="L354" s="4" t="n"/>
      <c r="M354" s="5" t="n"/>
      <c r="N354" s="5" t="n"/>
      <c r="O354" s="4" t="n"/>
      <c r="P354" s="5" t="n"/>
      <c r="Q354" s="4" t="n"/>
    </row>
    <row r="355">
      <c r="B355" s="4" t="n"/>
      <c r="C355" s="4" t="n"/>
      <c r="D355" s="4" t="n"/>
      <c r="E355" s="4" t="n"/>
      <c r="F355" s="5" t="n"/>
      <c r="G355" s="5" t="n"/>
      <c r="H355" s="4" t="n"/>
      <c r="I355" s="4" t="n"/>
      <c r="J355" s="4" t="n"/>
      <c r="K355" s="5" t="n"/>
      <c r="L355" s="4" t="n"/>
      <c r="M355" s="5" t="n"/>
      <c r="N355" s="5" t="n"/>
      <c r="O355" s="4" t="n"/>
      <c r="P355" s="5" t="n"/>
      <c r="Q355" s="4" t="n"/>
    </row>
    <row r="356">
      <c r="B356" s="4" t="n"/>
      <c r="C356" s="4" t="n"/>
      <c r="D356" s="4" t="n"/>
      <c r="E356" s="4" t="n"/>
      <c r="F356" s="5" t="n"/>
      <c r="G356" s="5" t="n"/>
      <c r="H356" s="4" t="n"/>
      <c r="I356" s="4" t="n"/>
      <c r="J356" s="4" t="n"/>
      <c r="K356" s="5" t="n"/>
      <c r="L356" s="4" t="n"/>
      <c r="M356" s="5" t="n"/>
      <c r="N356" s="5" t="n"/>
      <c r="O356" s="4" t="n"/>
      <c r="P356" s="5" t="n"/>
      <c r="Q356" s="4" t="n"/>
    </row>
    <row r="357">
      <c r="B357" s="4" t="n"/>
      <c r="C357" s="4" t="n"/>
      <c r="D357" s="4" t="n"/>
      <c r="E357" s="4" t="n"/>
      <c r="F357" s="5" t="n"/>
      <c r="G357" s="5" t="n"/>
      <c r="H357" s="4" t="n"/>
      <c r="I357" s="4" t="n"/>
      <c r="J357" s="4" t="n"/>
      <c r="K357" s="5" t="n"/>
      <c r="L357" s="4" t="n"/>
      <c r="M357" s="5" t="n"/>
      <c r="N357" s="5" t="n"/>
      <c r="O357" s="4" t="n"/>
      <c r="P357" s="5" t="n"/>
      <c r="Q357" s="4" t="n"/>
    </row>
    <row r="358">
      <c r="B358" s="4" t="n"/>
      <c r="C358" s="4" t="n"/>
      <c r="D358" s="4" t="n"/>
      <c r="E358" s="4" t="n"/>
      <c r="F358" s="5" t="n"/>
      <c r="G358" s="5" t="n"/>
      <c r="H358" s="4" t="n"/>
      <c r="I358" s="4" t="n"/>
      <c r="J358" s="4" t="n"/>
      <c r="K358" s="5" t="n"/>
      <c r="L358" s="4" t="n"/>
      <c r="M358" s="5" t="n"/>
      <c r="N358" s="5" t="n"/>
      <c r="O358" s="4" t="n"/>
      <c r="P358" s="5" t="n"/>
      <c r="Q358" s="4" t="n"/>
    </row>
    <row r="359">
      <c r="B359" s="4" t="n"/>
      <c r="C359" s="4" t="n"/>
      <c r="D359" s="4" t="n"/>
      <c r="E359" s="4" t="n"/>
      <c r="F359" s="5" t="n"/>
      <c r="G359" s="5" t="n"/>
      <c r="H359" s="4" t="n"/>
      <c r="I359" s="4" t="n"/>
      <c r="J359" s="4" t="n"/>
      <c r="K359" s="5" t="n"/>
      <c r="L359" s="4" t="n"/>
      <c r="M359" s="5" t="n"/>
      <c r="N359" s="5" t="n"/>
      <c r="O359" s="4" t="n"/>
      <c r="P359" s="5" t="n"/>
      <c r="Q359" s="4" t="n"/>
    </row>
    <row r="360">
      <c r="B360" s="4" t="n"/>
      <c r="C360" s="4" t="n"/>
      <c r="D360" s="4" t="n"/>
      <c r="E360" s="4" t="n"/>
      <c r="F360" s="5" t="n"/>
      <c r="G360" s="5" t="n"/>
      <c r="H360" s="4" t="n"/>
      <c r="I360" s="4" t="n"/>
      <c r="J360" s="4" t="n"/>
      <c r="K360" s="5" t="n"/>
      <c r="L360" s="4" t="n"/>
      <c r="M360" s="5" t="n"/>
      <c r="N360" s="5" t="n"/>
      <c r="O360" s="4" t="n"/>
      <c r="P360" s="5" t="n"/>
      <c r="Q360" s="4" t="n"/>
    </row>
    <row r="361">
      <c r="B361" s="4" t="n"/>
      <c r="C361" s="4" t="n"/>
      <c r="D361" s="4" t="n"/>
      <c r="E361" s="4" t="n"/>
      <c r="F361" s="5" t="n"/>
      <c r="G361" s="5" t="n"/>
      <c r="H361" s="4" t="n"/>
      <c r="I361" s="4" t="n"/>
      <c r="J361" s="4" t="n"/>
      <c r="K361" s="5" t="n"/>
      <c r="L361" s="4" t="n"/>
      <c r="M361" s="5" t="n"/>
      <c r="N361" s="5" t="n"/>
      <c r="O361" s="4" t="n"/>
      <c r="P361" s="5" t="n"/>
      <c r="Q361" s="4" t="n"/>
    </row>
    <row r="362">
      <c r="B362" s="4" t="n"/>
      <c r="C362" s="4" t="n"/>
      <c r="D362" s="4" t="n"/>
      <c r="E362" s="4" t="n"/>
      <c r="F362" s="5" t="n"/>
      <c r="G362" s="5" t="n"/>
      <c r="H362" s="4" t="n"/>
      <c r="I362" s="4" t="n"/>
      <c r="J362" s="4" t="n"/>
      <c r="K362" s="5" t="n"/>
      <c r="L362" s="4" t="n"/>
      <c r="M362" s="5" t="n"/>
      <c r="N362" s="5" t="n"/>
      <c r="O362" s="4" t="n"/>
      <c r="P362" s="5" t="n"/>
      <c r="Q362" s="4" t="n"/>
    </row>
    <row r="363">
      <c r="B363" s="4" t="n"/>
      <c r="C363" s="4" t="n"/>
      <c r="D363" s="4" t="n"/>
      <c r="E363" s="4" t="n"/>
      <c r="F363" s="5" t="n"/>
      <c r="G363" s="5" t="n"/>
      <c r="H363" s="4" t="n"/>
      <c r="I363" s="4" t="n"/>
      <c r="J363" s="4" t="n"/>
      <c r="K363" s="5" t="n"/>
      <c r="L363" s="4" t="n"/>
      <c r="M363" s="5" t="n"/>
      <c r="N363" s="5" t="n"/>
      <c r="O363" s="4" t="n"/>
      <c r="P363" s="5" t="n"/>
      <c r="Q363" s="4" t="n"/>
    </row>
    <row r="364">
      <c r="B364" s="4" t="n"/>
      <c r="C364" s="4" t="n"/>
      <c r="D364" s="4" t="n"/>
      <c r="E364" s="4" t="n"/>
      <c r="F364" s="5" t="n"/>
      <c r="G364" s="5" t="n"/>
      <c r="H364" s="4" t="n"/>
      <c r="I364" s="4" t="n"/>
      <c r="J364" s="4" t="n"/>
      <c r="K364" s="5" t="n"/>
      <c r="L364" s="4" t="n"/>
      <c r="M364" s="5" t="n"/>
      <c r="N364" s="5" t="n"/>
      <c r="O364" s="4" t="n"/>
      <c r="P364" s="5" t="n"/>
      <c r="Q364" s="4" t="n"/>
    </row>
    <row r="365">
      <c r="B365" s="4" t="n"/>
      <c r="C365" s="4" t="n"/>
      <c r="D365" s="4" t="n"/>
      <c r="E365" s="4" t="n"/>
      <c r="F365" s="5" t="n"/>
      <c r="G365" s="5" t="n"/>
      <c r="H365" s="4" t="n"/>
      <c r="I365" s="4" t="n"/>
      <c r="J365" s="4" t="n"/>
      <c r="K365" s="5" t="n"/>
      <c r="L365" s="4" t="n"/>
      <c r="M365" s="5" t="n"/>
      <c r="N365" s="5" t="n"/>
      <c r="O365" s="4" t="n"/>
      <c r="P365" s="5" t="n"/>
      <c r="Q365" s="4" t="n"/>
    </row>
    <row r="366">
      <c r="B366" s="4" t="n"/>
      <c r="C366" s="4" t="n"/>
      <c r="D366" s="4" t="n"/>
      <c r="E366" s="4" t="n"/>
      <c r="F366" s="5" t="n"/>
      <c r="G366" s="5" t="n"/>
      <c r="H366" s="4" t="n"/>
      <c r="I366" s="4" t="n"/>
      <c r="J366" s="4" t="n"/>
      <c r="K366" s="5" t="n"/>
      <c r="L366" s="4" t="n"/>
      <c r="M366" s="5" t="n"/>
      <c r="N366" s="5" t="n"/>
      <c r="O366" s="4" t="n"/>
      <c r="P366" s="5" t="n"/>
      <c r="Q366" s="4" t="n"/>
    </row>
    <row r="367">
      <c r="B367" s="4" t="n"/>
      <c r="C367" s="4" t="n"/>
      <c r="D367" s="4" t="n"/>
      <c r="E367" s="4" t="n"/>
      <c r="F367" s="5" t="n"/>
      <c r="G367" s="5" t="n"/>
      <c r="H367" s="4" t="n"/>
      <c r="I367" s="4" t="n"/>
      <c r="J367" s="4" t="n"/>
      <c r="K367" s="5" t="n"/>
      <c r="L367" s="4" t="n"/>
      <c r="M367" s="5" t="n"/>
      <c r="N367" s="5" t="n"/>
      <c r="O367" s="4" t="n"/>
      <c r="P367" s="5" t="n"/>
      <c r="Q367" s="4" t="n"/>
    </row>
    <row r="368">
      <c r="B368" s="4" t="n"/>
      <c r="C368" s="4" t="n"/>
      <c r="D368" s="4" t="n"/>
      <c r="E368" s="4" t="n"/>
      <c r="F368" s="5" t="n"/>
      <c r="G368" s="5" t="n"/>
      <c r="H368" s="4" t="n"/>
      <c r="I368" s="4" t="n"/>
      <c r="J368" s="4" t="n"/>
      <c r="K368" s="5" t="n"/>
      <c r="L368" s="4" t="n"/>
      <c r="M368" s="5" t="n"/>
      <c r="N368" s="5" t="n"/>
      <c r="O368" s="4" t="n"/>
      <c r="P368" s="5" t="n"/>
      <c r="Q368" s="4" t="n"/>
    </row>
    <row r="369">
      <c r="B369" s="4" t="n"/>
      <c r="C369" s="4" t="n"/>
      <c r="D369" s="4" t="n"/>
      <c r="E369" s="4" t="n"/>
      <c r="F369" s="5" t="n"/>
      <c r="G369" s="5" t="n"/>
      <c r="H369" s="4" t="n"/>
      <c r="I369" s="4" t="n"/>
      <c r="J369" s="4" t="n"/>
      <c r="K369" s="5" t="n"/>
      <c r="L369" s="4" t="n"/>
      <c r="M369" s="5" t="n"/>
      <c r="N369" s="5" t="n"/>
      <c r="O369" s="4" t="n"/>
      <c r="P369" s="5" t="n"/>
      <c r="Q369" s="4" t="n"/>
    </row>
    <row r="370">
      <c r="B370" s="4" t="n"/>
      <c r="C370" s="4" t="n"/>
      <c r="D370" s="4" t="n"/>
      <c r="E370" s="4" t="n"/>
      <c r="F370" s="5" t="n"/>
      <c r="G370" s="5" t="n"/>
      <c r="H370" s="4" t="n"/>
      <c r="I370" s="4" t="n"/>
      <c r="J370" s="4" t="n"/>
      <c r="K370" s="5" t="n"/>
      <c r="L370" s="4" t="n"/>
      <c r="M370" s="5" t="n"/>
      <c r="N370" s="5" t="n"/>
      <c r="O370" s="4" t="n"/>
      <c r="P370" s="5" t="n"/>
      <c r="Q370" s="4" t="n"/>
    </row>
    <row r="371">
      <c r="B371" s="4" t="n"/>
      <c r="C371" s="4" t="n"/>
      <c r="D371" s="4" t="n"/>
      <c r="E371" s="4" t="n"/>
      <c r="F371" s="5" t="n"/>
      <c r="G371" s="5" t="n"/>
      <c r="H371" s="4" t="n"/>
      <c r="I371" s="4" t="n"/>
      <c r="J371" s="4" t="n"/>
      <c r="K371" s="5" t="n"/>
      <c r="L371" s="4" t="n"/>
      <c r="M371" s="5" t="n"/>
      <c r="N371" s="5" t="n"/>
      <c r="O371" s="4" t="n"/>
      <c r="P371" s="5" t="n"/>
      <c r="Q371" s="4" t="n"/>
    </row>
    <row r="372">
      <c r="B372" s="4" t="n"/>
      <c r="C372" s="4" t="n"/>
      <c r="D372" s="4" t="n"/>
      <c r="E372" s="4" t="n"/>
      <c r="F372" s="5" t="n"/>
      <c r="G372" s="5" t="n"/>
      <c r="H372" s="4" t="n"/>
      <c r="I372" s="4" t="n"/>
      <c r="J372" s="4" t="n"/>
      <c r="K372" s="5" t="n"/>
      <c r="L372" s="4" t="n"/>
      <c r="M372" s="5" t="n"/>
      <c r="N372" s="5" t="n"/>
      <c r="O372" s="4" t="n"/>
      <c r="P372" s="5" t="n"/>
      <c r="Q372" s="4" t="n"/>
    </row>
    <row r="373">
      <c r="B373" s="4" t="n"/>
      <c r="C373" s="4" t="n"/>
      <c r="D373" s="4" t="n"/>
      <c r="E373" s="4" t="n"/>
      <c r="F373" s="5" t="n"/>
      <c r="G373" s="5" t="n"/>
      <c r="H373" s="4" t="n"/>
      <c r="I373" s="4" t="n"/>
      <c r="J373" s="4" t="n"/>
      <c r="K373" s="5" t="n"/>
      <c r="L373" s="4" t="n"/>
      <c r="M373" s="5" t="n"/>
      <c r="N373" s="5" t="n"/>
      <c r="O373" s="4" t="n"/>
      <c r="P373" s="5" t="n"/>
      <c r="Q373" s="4" t="n"/>
    </row>
    <row r="374">
      <c r="B374" s="4" t="n"/>
      <c r="C374" s="4" t="n"/>
      <c r="D374" s="4" t="n"/>
      <c r="E374" s="4" t="n"/>
      <c r="F374" s="5" t="n"/>
      <c r="G374" s="5" t="n"/>
      <c r="H374" s="4" t="n"/>
      <c r="I374" s="4" t="n"/>
      <c r="J374" s="4" t="n"/>
      <c r="K374" s="5" t="n"/>
      <c r="L374" s="4" t="n"/>
      <c r="M374" s="5" t="n"/>
      <c r="N374" s="5" t="n"/>
      <c r="O374" s="4" t="n"/>
      <c r="P374" s="5" t="n"/>
      <c r="Q374" s="4" t="n"/>
    </row>
    <row r="375">
      <c r="B375" s="4" t="n"/>
      <c r="C375" s="4" t="n"/>
      <c r="D375" s="4" t="n"/>
      <c r="E375" s="4" t="n"/>
      <c r="F375" s="5" t="n"/>
      <c r="G375" s="5" t="n"/>
      <c r="H375" s="4" t="n"/>
      <c r="I375" s="4" t="n"/>
      <c r="J375" s="4" t="n"/>
      <c r="K375" s="5" t="n"/>
      <c r="L375" s="4" t="n"/>
      <c r="M375" s="5" t="n"/>
      <c r="N375" s="5" t="n"/>
      <c r="O375" s="4" t="n"/>
      <c r="P375" s="5" t="n"/>
      <c r="Q375" s="4" t="n"/>
    </row>
    <row r="376">
      <c r="B376" s="4" t="n"/>
      <c r="C376" s="4" t="n"/>
      <c r="D376" s="4" t="n"/>
      <c r="E376" s="4" t="n"/>
      <c r="F376" s="5" t="n"/>
      <c r="G376" s="5" t="n"/>
      <c r="H376" s="4" t="n"/>
      <c r="I376" s="4" t="n"/>
      <c r="J376" s="4" t="n"/>
      <c r="K376" s="5" t="n"/>
      <c r="L376" s="4" t="n"/>
      <c r="M376" s="5" t="n"/>
      <c r="N376" s="5" t="n"/>
      <c r="O376" s="4" t="n"/>
      <c r="P376" s="5" t="n"/>
      <c r="Q376" s="4" t="n"/>
    </row>
    <row r="377">
      <c r="B377" s="4" t="n"/>
      <c r="C377" s="4" t="n"/>
      <c r="D377" s="4" t="n"/>
      <c r="E377" s="4" t="n"/>
      <c r="F377" s="5" t="n"/>
      <c r="G377" s="5" t="n"/>
      <c r="H377" s="4" t="n"/>
      <c r="I377" s="4" t="n"/>
      <c r="J377" s="4" t="n"/>
      <c r="K377" s="5" t="n"/>
      <c r="L377" s="4" t="n"/>
      <c r="M377" s="5" t="n"/>
      <c r="N377" s="5" t="n"/>
      <c r="O377" s="4" t="n"/>
      <c r="P377" s="5" t="n"/>
      <c r="Q377" s="4" t="n"/>
    </row>
    <row r="378">
      <c r="B378" s="4" t="n"/>
      <c r="C378" s="4" t="n"/>
      <c r="D378" s="4" t="n"/>
      <c r="E378" s="4" t="n"/>
      <c r="F378" s="5" t="n"/>
      <c r="G378" s="5" t="n"/>
      <c r="H378" s="4" t="n"/>
      <c r="I378" s="4" t="n"/>
      <c r="J378" s="4" t="n"/>
      <c r="K378" s="5" t="n"/>
      <c r="L378" s="4" t="n"/>
      <c r="M378" s="5" t="n"/>
      <c r="N378" s="5" t="n"/>
      <c r="O378" s="4" t="n"/>
      <c r="P378" s="5" t="n"/>
      <c r="Q378" s="4" t="n"/>
    </row>
    <row r="379">
      <c r="B379" s="4" t="n"/>
      <c r="C379" s="4" t="n"/>
      <c r="D379" s="4" t="n"/>
      <c r="E379" s="4" t="n"/>
      <c r="F379" s="5" t="n"/>
      <c r="G379" s="5" t="n"/>
      <c r="H379" s="4" t="n"/>
      <c r="I379" s="4" t="n"/>
      <c r="J379" s="4" t="n"/>
      <c r="K379" s="5" t="n"/>
      <c r="L379" s="4" t="n"/>
      <c r="M379" s="5" t="n"/>
      <c r="N379" s="5" t="n"/>
      <c r="O379" s="4" t="n"/>
      <c r="P379" s="5" t="n"/>
      <c r="Q379" s="4" t="n"/>
    </row>
    <row r="380">
      <c r="B380" s="4" t="n"/>
      <c r="C380" s="4" t="n"/>
      <c r="D380" s="4" t="n"/>
      <c r="E380" s="4" t="n"/>
      <c r="F380" s="5" t="n"/>
      <c r="G380" s="5" t="n"/>
      <c r="H380" s="4" t="n"/>
      <c r="I380" s="4" t="n"/>
      <c r="J380" s="4" t="n"/>
      <c r="K380" s="5" t="n"/>
      <c r="L380" s="4" t="n"/>
      <c r="M380" s="5" t="n"/>
      <c r="N380" s="5" t="n"/>
      <c r="O380" s="4" t="n"/>
      <c r="P380" s="5" t="n"/>
      <c r="Q380" s="4" t="n"/>
    </row>
    <row r="381">
      <c r="B381" s="4" t="n"/>
      <c r="C381" s="4" t="n"/>
      <c r="D381" s="4" t="n"/>
      <c r="E381" s="4" t="n"/>
      <c r="F381" s="5" t="n"/>
      <c r="G381" s="5" t="n"/>
      <c r="H381" s="4" t="n"/>
      <c r="I381" s="4" t="n"/>
      <c r="J381" s="4" t="n"/>
      <c r="K381" s="5" t="n"/>
      <c r="L381" s="4" t="n"/>
      <c r="M381" s="5" t="n"/>
      <c r="N381" s="5" t="n"/>
      <c r="O381" s="4" t="n"/>
      <c r="P381" s="5" t="n"/>
      <c r="Q381" s="4" t="n"/>
    </row>
    <row r="382">
      <c r="B382" s="4" t="n"/>
      <c r="C382" s="4" t="n"/>
      <c r="D382" s="4" t="n"/>
      <c r="E382" s="4" t="n"/>
      <c r="F382" s="5" t="n"/>
      <c r="G382" s="5" t="n"/>
      <c r="H382" s="4" t="n"/>
      <c r="I382" s="4" t="n"/>
      <c r="J382" s="4" t="n"/>
      <c r="K382" s="5" t="n"/>
      <c r="L382" s="4" t="n"/>
      <c r="M382" s="5" t="n"/>
      <c r="N382" s="5" t="n"/>
      <c r="O382" s="4" t="n"/>
      <c r="P382" s="5" t="n"/>
      <c r="Q382" s="4" t="n"/>
    </row>
    <row r="383">
      <c r="B383" s="4" t="n"/>
      <c r="C383" s="4" t="n"/>
      <c r="D383" s="4" t="n"/>
      <c r="E383" s="4" t="n"/>
      <c r="F383" s="5" t="n"/>
      <c r="G383" s="5" t="n"/>
      <c r="H383" s="4" t="n"/>
      <c r="I383" s="4" t="n"/>
      <c r="J383" s="4" t="n"/>
      <c r="K383" s="5" t="n"/>
      <c r="L383" s="4" t="n"/>
      <c r="M383" s="5" t="n"/>
      <c r="N383" s="5" t="n"/>
      <c r="O383" s="4" t="n"/>
      <c r="P383" s="5" t="n"/>
      <c r="Q383" s="4" t="n"/>
    </row>
    <row r="384">
      <c r="B384" s="4" t="n"/>
      <c r="C384" s="4" t="n"/>
      <c r="D384" s="4" t="n"/>
      <c r="E384" s="4" t="n"/>
      <c r="F384" s="5" t="n"/>
      <c r="G384" s="5" t="n"/>
      <c r="H384" s="4" t="n"/>
      <c r="I384" s="4" t="n"/>
      <c r="J384" s="4" t="n"/>
      <c r="K384" s="5" t="n"/>
      <c r="L384" s="4" t="n"/>
      <c r="M384" s="5" t="n"/>
      <c r="N384" s="5" t="n"/>
      <c r="O384" s="4" t="n"/>
      <c r="P384" s="5" t="n"/>
      <c r="Q384" s="4" t="n"/>
    </row>
    <row r="385">
      <c r="B385" s="4" t="n"/>
      <c r="C385" s="4" t="n"/>
      <c r="D385" s="4" t="n"/>
      <c r="E385" s="4" t="n"/>
      <c r="F385" s="5" t="n"/>
      <c r="G385" s="5" t="n"/>
      <c r="H385" s="4" t="n"/>
      <c r="I385" s="4" t="n"/>
      <c r="J385" s="4" t="n"/>
      <c r="K385" s="5" t="n"/>
      <c r="L385" s="4" t="n"/>
      <c r="M385" s="5" t="n"/>
      <c r="N385" s="5" t="n"/>
      <c r="O385" s="4" t="n"/>
      <c r="P385" s="5" t="n"/>
      <c r="Q385" s="4" t="n"/>
    </row>
    <row r="386">
      <c r="B386" s="4" t="n"/>
      <c r="C386" s="4" t="n"/>
      <c r="D386" s="4" t="n"/>
      <c r="E386" s="4" t="n"/>
      <c r="F386" s="5" t="n"/>
      <c r="G386" s="5" t="n"/>
      <c r="H386" s="4" t="n"/>
      <c r="I386" s="4" t="n"/>
      <c r="J386" s="4" t="n"/>
      <c r="K386" s="5" t="n"/>
      <c r="L386" s="4" t="n"/>
      <c r="M386" s="5" t="n"/>
      <c r="N386" s="5" t="n"/>
      <c r="O386" s="4" t="n"/>
      <c r="P386" s="5" t="n"/>
      <c r="Q386" s="4" t="n"/>
    </row>
    <row r="387">
      <c r="B387" s="4" t="n"/>
      <c r="C387" s="4" t="n"/>
      <c r="D387" s="4" t="n"/>
      <c r="E387" s="4" t="n"/>
      <c r="F387" s="5" t="n"/>
      <c r="G387" s="5" t="n"/>
      <c r="H387" s="4" t="n"/>
      <c r="I387" s="4" t="n"/>
      <c r="J387" s="4" t="n"/>
      <c r="K387" s="5" t="n"/>
      <c r="L387" s="4" t="n"/>
      <c r="M387" s="5" t="n"/>
      <c r="N387" s="5" t="n"/>
      <c r="O387" s="4" t="n"/>
      <c r="P387" s="5" t="n"/>
      <c r="Q387" s="4" t="n"/>
    </row>
    <row r="388">
      <c r="B388" s="4" t="n"/>
      <c r="C388" s="4" t="n"/>
      <c r="D388" s="4" t="n"/>
      <c r="E388" s="4" t="n"/>
      <c r="F388" s="5" t="n"/>
      <c r="G388" s="5" t="n"/>
      <c r="H388" s="4" t="n"/>
      <c r="I388" s="4" t="n"/>
      <c r="J388" s="4" t="n"/>
      <c r="K388" s="5" t="n"/>
      <c r="L388" s="4" t="n"/>
      <c r="M388" s="5" t="n"/>
      <c r="N388" s="5" t="n"/>
      <c r="O388" s="4" t="n"/>
      <c r="P388" s="5" t="n"/>
      <c r="Q388" s="4" t="n"/>
    </row>
    <row r="389">
      <c r="B389" s="4" t="n"/>
      <c r="C389" s="4" t="n"/>
      <c r="D389" s="4" t="n"/>
      <c r="E389" s="4" t="n"/>
      <c r="F389" s="5" t="n"/>
      <c r="G389" s="5" t="n"/>
      <c r="H389" s="4" t="n"/>
      <c r="I389" s="4" t="n"/>
      <c r="J389" s="4" t="n"/>
      <c r="K389" s="5" t="n"/>
      <c r="L389" s="4" t="n"/>
      <c r="M389" s="5" t="n"/>
      <c r="N389" s="5" t="n"/>
      <c r="O389" s="4" t="n"/>
      <c r="P389" s="5" t="n"/>
      <c r="Q389" s="4" t="n"/>
    </row>
    <row r="390">
      <c r="B390" s="4" t="n"/>
      <c r="C390" s="4" t="n"/>
      <c r="D390" s="4" t="n"/>
      <c r="E390" s="4" t="n"/>
      <c r="F390" s="5" t="n"/>
      <c r="G390" s="5" t="n"/>
      <c r="H390" s="4" t="n"/>
      <c r="I390" s="4" t="n"/>
      <c r="J390" s="4" t="n"/>
      <c r="K390" s="5" t="n"/>
      <c r="L390" s="4" t="n"/>
      <c r="M390" s="5" t="n"/>
      <c r="N390" s="5" t="n"/>
      <c r="O390" s="4" t="n"/>
      <c r="P390" s="5" t="n"/>
      <c r="Q390" s="4" t="n"/>
    </row>
    <row r="391">
      <c r="B391" s="4" t="n"/>
      <c r="C391" s="4" t="n"/>
      <c r="D391" s="4" t="n"/>
      <c r="E391" s="4" t="n"/>
      <c r="F391" s="5" t="n"/>
      <c r="G391" s="5" t="n"/>
      <c r="H391" s="4" t="n"/>
      <c r="I391" s="4" t="n"/>
      <c r="J391" s="4" t="n"/>
      <c r="K391" s="5" t="n"/>
      <c r="L391" s="4" t="n"/>
      <c r="M391" s="5" t="n"/>
      <c r="N391" s="5" t="n"/>
      <c r="O391" s="4" t="n"/>
      <c r="P391" s="5" t="n"/>
      <c r="Q391" s="4" t="n"/>
    </row>
    <row r="392">
      <c r="B392" s="4" t="n"/>
      <c r="C392" s="4" t="n"/>
      <c r="D392" s="4" t="n"/>
      <c r="E392" s="4" t="n"/>
      <c r="F392" s="5" t="n"/>
      <c r="G392" s="5" t="n"/>
      <c r="H392" s="4" t="n"/>
      <c r="I392" s="4" t="n"/>
      <c r="J392" s="4" t="n"/>
      <c r="K392" s="5" t="n"/>
      <c r="L392" s="4" t="n"/>
      <c r="M392" s="5" t="n"/>
      <c r="N392" s="5" t="n"/>
      <c r="O392" s="4" t="n"/>
      <c r="P392" s="5" t="n"/>
      <c r="Q392" s="4" t="n"/>
    </row>
    <row r="393">
      <c r="B393" s="4" t="n"/>
      <c r="C393" s="4" t="n"/>
      <c r="D393" s="4" t="n"/>
      <c r="E393" s="4" t="n"/>
      <c r="F393" s="5" t="n"/>
      <c r="G393" s="5" t="n"/>
      <c r="H393" s="4" t="n"/>
      <c r="I393" s="4" t="n"/>
      <c r="J393" s="4" t="n"/>
      <c r="K393" s="5" t="n"/>
      <c r="L393" s="4" t="n"/>
      <c r="M393" s="5" t="n"/>
      <c r="N393" s="5" t="n"/>
      <c r="O393" s="4" t="n"/>
      <c r="P393" s="5" t="n"/>
      <c r="Q393" s="4" t="n"/>
    </row>
    <row r="394">
      <c r="B394" s="4" t="n"/>
      <c r="C394" s="4" t="n"/>
      <c r="D394" s="4" t="n"/>
      <c r="E394" s="4" t="n"/>
      <c r="F394" s="5" t="n"/>
      <c r="G394" s="5" t="n"/>
      <c r="H394" s="4" t="n"/>
      <c r="I394" s="4" t="n"/>
      <c r="J394" s="4" t="n"/>
      <c r="K394" s="5" t="n"/>
      <c r="L394" s="4" t="n"/>
      <c r="M394" s="5" t="n"/>
      <c r="N394" s="5" t="n"/>
      <c r="O394" s="4" t="n"/>
      <c r="P394" s="5" t="n"/>
      <c r="Q394" s="4" t="n"/>
    </row>
    <row r="395">
      <c r="B395" s="4" t="n"/>
      <c r="C395" s="4" t="n"/>
      <c r="D395" s="4" t="n"/>
      <c r="E395" s="4" t="n"/>
      <c r="F395" s="5" t="n"/>
      <c r="G395" s="5" t="n"/>
      <c r="H395" s="4" t="n"/>
      <c r="I395" s="4" t="n"/>
      <c r="J395" s="4" t="n"/>
      <c r="K395" s="5" t="n"/>
      <c r="L395" s="4" t="n"/>
      <c r="M395" s="5" t="n"/>
      <c r="N395" s="5" t="n"/>
      <c r="O395" s="4" t="n"/>
      <c r="P395" s="5" t="n"/>
      <c r="Q395" s="4" t="n"/>
    </row>
    <row r="396">
      <c r="B396" s="4" t="n"/>
      <c r="C396" s="4" t="n"/>
      <c r="D396" s="4" t="n"/>
      <c r="E396" s="4" t="n"/>
      <c r="F396" s="5" t="n"/>
      <c r="G396" s="5" t="n"/>
      <c r="H396" s="4" t="n"/>
      <c r="I396" s="4" t="n"/>
      <c r="J396" s="4" t="n"/>
      <c r="K396" s="5" t="n"/>
      <c r="L396" s="4" t="n"/>
      <c r="M396" s="5" t="n"/>
      <c r="N396" s="5" t="n"/>
      <c r="O396" s="4" t="n"/>
      <c r="P396" s="5" t="n"/>
      <c r="Q396" s="4" t="n"/>
    </row>
    <row r="397">
      <c r="B397" s="4" t="n"/>
      <c r="C397" s="4" t="n"/>
      <c r="D397" s="4" t="n"/>
      <c r="E397" s="4" t="n"/>
      <c r="F397" s="5" t="n"/>
      <c r="G397" s="5" t="n"/>
      <c r="H397" s="4" t="n"/>
      <c r="I397" s="4" t="n"/>
      <c r="J397" s="4" t="n"/>
      <c r="K397" s="5" t="n"/>
      <c r="L397" s="4" t="n"/>
      <c r="M397" s="5" t="n"/>
      <c r="N397" s="5" t="n"/>
      <c r="O397" s="4" t="n"/>
      <c r="P397" s="5" t="n"/>
      <c r="Q397" s="4" t="n"/>
    </row>
    <row r="398">
      <c r="B398" s="4" t="n"/>
      <c r="C398" s="4" t="n"/>
      <c r="D398" s="4" t="n"/>
      <c r="E398" s="4" t="n"/>
      <c r="F398" s="5" t="n"/>
      <c r="G398" s="5" t="n"/>
      <c r="H398" s="4" t="n"/>
      <c r="I398" s="4" t="n"/>
      <c r="J398" s="4" t="n"/>
      <c r="K398" s="5" t="n"/>
      <c r="L398" s="4" t="n"/>
      <c r="M398" s="5" t="n"/>
      <c r="N398" s="5" t="n"/>
      <c r="O398" s="4" t="n"/>
      <c r="P398" s="5" t="n"/>
      <c r="Q398" s="4" t="n"/>
    </row>
    <row r="399">
      <c r="B399" s="4" t="n"/>
      <c r="C399" s="4" t="n"/>
      <c r="D399" s="4" t="n"/>
      <c r="E399" s="4" t="n"/>
      <c r="F399" s="5" t="n"/>
      <c r="G399" s="5" t="n"/>
      <c r="H399" s="4" t="n"/>
      <c r="I399" s="4" t="n"/>
      <c r="J399" s="4" t="n"/>
      <c r="K399" s="5" t="n"/>
      <c r="L399" s="4" t="n"/>
      <c r="M399" s="5" t="n"/>
      <c r="N399" s="5" t="n"/>
      <c r="O399" s="4" t="n"/>
      <c r="P399" s="5" t="n"/>
      <c r="Q399" s="4" t="n"/>
    </row>
    <row r="400">
      <c r="B400" s="4" t="n"/>
      <c r="C400" s="4" t="n"/>
      <c r="D400" s="4" t="n"/>
      <c r="E400" s="4" t="n"/>
      <c r="F400" s="5" t="n"/>
      <c r="G400" s="5" t="n"/>
      <c r="H400" s="4" t="n"/>
      <c r="I400" s="4" t="n"/>
      <c r="J400" s="4" t="n"/>
      <c r="K400" s="5" t="n"/>
      <c r="L400" s="4" t="n"/>
      <c r="M400" s="5" t="n"/>
      <c r="N400" s="5" t="n"/>
      <c r="O400" s="4" t="n"/>
      <c r="P400" s="5" t="n"/>
      <c r="Q400" s="4" t="n"/>
    </row>
    <row r="401">
      <c r="B401" s="4" t="n"/>
      <c r="C401" s="4" t="n"/>
      <c r="D401" s="4" t="n"/>
      <c r="E401" s="4" t="n"/>
      <c r="F401" s="5" t="n"/>
      <c r="G401" s="5" t="n"/>
      <c r="H401" s="4" t="n"/>
      <c r="I401" s="4" t="n"/>
      <c r="J401" s="4" t="n"/>
      <c r="K401" s="5" t="n"/>
      <c r="L401" s="4" t="n"/>
      <c r="M401" s="5" t="n"/>
      <c r="N401" s="5" t="n"/>
      <c r="O401" s="4" t="n"/>
      <c r="P401" s="5" t="n"/>
      <c r="Q401" s="4" t="n"/>
    </row>
    <row r="402">
      <c r="B402" s="4" t="n"/>
      <c r="C402" s="4" t="n"/>
      <c r="D402" s="4" t="n"/>
      <c r="E402" s="4" t="n"/>
      <c r="F402" s="5" t="n"/>
      <c r="G402" s="5" t="n"/>
      <c r="H402" s="4" t="n"/>
      <c r="I402" s="4" t="n"/>
      <c r="J402" s="4" t="n"/>
      <c r="K402" s="5" t="n"/>
      <c r="L402" s="4" t="n"/>
      <c r="M402" s="5" t="n"/>
      <c r="N402" s="5" t="n"/>
      <c r="O402" s="4" t="n"/>
      <c r="P402" s="5" t="n"/>
      <c r="Q402" s="4" t="n"/>
    </row>
    <row r="403">
      <c r="B403" s="4" t="n"/>
      <c r="C403" s="4" t="n"/>
      <c r="D403" s="4" t="n"/>
      <c r="E403" s="4" t="n"/>
      <c r="F403" s="5" t="n"/>
      <c r="G403" s="5" t="n"/>
      <c r="H403" s="4" t="n"/>
      <c r="I403" s="4" t="n"/>
      <c r="J403" s="4" t="n"/>
      <c r="K403" s="5" t="n"/>
      <c r="L403" s="4" t="n"/>
      <c r="M403" s="5" t="n"/>
      <c r="N403" s="5" t="n"/>
      <c r="O403" s="4" t="n"/>
      <c r="P403" s="5" t="n"/>
      <c r="Q403" s="4" t="n"/>
    </row>
  </sheetData>
  <mergeCells count="2">
    <mergeCell ref="A1:P1"/>
    <mergeCell ref="A2:P2"/>
  </mergeCells>
  <dataValidations count="2">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showDropDown="0" showInputMessage="0" showErrorMessage="0" allowBlank="1" type="list">
      <formula1>"ACHAT,VENTE,PERTE,AJUSTEMENT,DEPENSE"</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showDropDown="0" showInputMessage="0" showErrorMessage="0" allowBlank="1" type="list">
      <formula1>=Produits!$A$4:$A$200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6" t="inlineStr">
        <is>
          <t>80085 — Modifs demandées (ID modifiable + annulation réversible + journal éditable)</t>
        </is>
      </c>
    </row>
    <row r="2">
      <c r="A2" s="7" t="n"/>
    </row>
    <row r="3">
      <c r="A3" s="7" t="inlineStr">
        <is>
          <t>1) Chaque produit a un PID interne (colonne cachée dans Produits). Tu peux changer 'ID produit' sans casser le Journal.</t>
        </is>
      </c>
    </row>
    <row r="4">
      <c r="A4" s="7" t="inlineStr">
        <is>
          <t>2) Le Journal référence le PID. L'ID affiché et le nom se recalculent automatiquement.</t>
        </is>
      </c>
    </row>
    <row r="5">
      <c r="A5" s="7" t="inlineStr">
        <is>
          <t>3) Annuler / rétablir : coche/décoche la colonne 'Actif' dans le Journal. Les calculs ne prennent en compte que Actif=TRUE.</t>
        </is>
      </c>
    </row>
    <row r="6">
      <c r="A6" s="7" t="inlineStr">
        <is>
          <t>4) Tu peux modifier après coup Lots / Unités/lot / Unités / Prix achat lot / Prix vente unitaire : tout se recalcule.</t>
        </is>
      </c>
    </row>
    <row r="7">
      <c r="A7" s="7" t="n"/>
    </row>
    <row r="8">
      <c r="A8" s="7" t="inlineStr">
        <is>
          <t>Tips mobile : filtre sur Type, et garde les colonnes A-D + F-G + H-J + L-O visibles.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2026-01-21T19:38:29Z</dcterms:created>
  <dcterms:modified xmlns:dcterms="http://purl.org/dc/terms/" xmlns:xsi="http://www.w3.org/2001/XMLSchema-instance" xsi:type="dcterms:W3CDTF">2026-01-21T19:38:29Z</dcterms:modified>
</cp:coreProperties>
</file>